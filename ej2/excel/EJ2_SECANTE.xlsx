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OMPU\Desktop\U\METODOS NUMERICOS\PROYECTO RAICES\"/>
    </mc:Choice>
  </mc:AlternateContent>
  <xr:revisionPtr revIDLastSave="0" documentId="8_{79103D11-E544-45DF-8CB1-8F2E6B7AFD82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ecante_Ej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1" i="1" l="1"/>
  <c r="A22" i="1" s="1"/>
  <c r="B21" i="1"/>
  <c r="C20" i="1"/>
  <c r="B20" i="1"/>
  <c r="A20" i="1"/>
  <c r="C19" i="1"/>
  <c r="B19" i="1"/>
  <c r="A19" i="1"/>
  <c r="C18" i="1"/>
  <c r="B18" i="1"/>
  <c r="A18" i="1"/>
  <c r="B12" i="1"/>
  <c r="B13" i="1"/>
  <c r="B14" i="1"/>
  <c r="B15" i="1"/>
  <c r="B11" i="1"/>
  <c r="B10" i="1"/>
  <c r="A11" i="1"/>
  <c r="A10" i="1"/>
  <c r="C21" i="1" l="1"/>
  <c r="B22" i="1" s="1"/>
  <c r="C22" i="1" s="1"/>
</calcChain>
</file>

<file path=xl/sharedStrings.xml><?xml version="1.0" encoding="utf-8"?>
<sst xmlns="http://schemas.openxmlformats.org/spreadsheetml/2006/main" count="19" uniqueCount="19">
  <si>
    <t>RAÍCES → MÉTODO DE LA SECANTE</t>
  </si>
  <si>
    <t>Ejercicio 2:</t>
  </si>
  <si>
    <t>Determinar la solución de la ecuación 3 sin(0,5 x) − 0,5 x + 2 = 0.</t>
  </si>
  <si>
    <t>Función para el método:</t>
  </si>
  <si>
    <t>f(x) = 3·sen(0,5x) − 0,5x + 2</t>
  </si>
  <si>
    <t>Tabla de exploración (para la gráfica)</t>
  </si>
  <si>
    <t>x</t>
  </si>
  <si>
    <t>f(x)</t>
  </si>
  <si>
    <t>El cambio de signo entre 5 y 6 indica una raíz.</t>
  </si>
  <si>
    <t>Tolerancia (criterio)</t>
  </si>
  <si>
    <t>tol = 0.00005</t>
  </si>
  <si>
    <t>Condición:</t>
  </si>
  <si>
    <t>|f(x_i)| ≤ tol</t>
  </si>
  <si>
    <t>Raíz (intervalo 5–6)</t>
  </si>
  <si>
    <t>#</t>
  </si>
  <si>
    <t>x_i</t>
  </si>
  <si>
    <t>f(x_i)</t>
  </si>
  <si>
    <t>Fórmula del método de la secante:</t>
  </si>
  <si>
    <t>x_{i+1} = x_i − f(x_i)(x_{i-1} − x_i) / ( f(x_{i-1}) − f(x_i)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</si>
</sst>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2" fillId="3" borderId="1" xfId="0" applyFont="1" applyFill="1" applyBorder="1"/>
    <xf numFmtId="0" fontId="1" fillId="0" borderId="0" xfId="0" applyFont="1"/>
    <xf numFmtId="0" fontId="0" fillId="0" borderId="0" xfId="0"/>
    <xf numFmtId="0" fontId="0" fillId="5" borderId="1" xfId="0" applyFill="1" applyBorder="1"/>
    <xf numFmtId="0" fontId="0" fillId="6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Gráfica de la función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Secante_Ej2!$B$9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Secante_Ej2!$A$10:$A$15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Secante_Ej2!$B$10:$B$15</c:f>
              <c:numCache>
                <c:formatCode>General</c:formatCode>
                <c:ptCount val="6"/>
                <c:pt idx="0">
                  <c:v>2</c:v>
                </c:pt>
                <c:pt idx="1">
                  <c:v>2.938276615812609</c:v>
                </c:pt>
                <c:pt idx="2">
                  <c:v>3.5244129544236893</c:v>
                </c:pt>
                <c:pt idx="3">
                  <c:v>3.4924849598121632</c:v>
                </c:pt>
                <c:pt idx="4">
                  <c:v>2.7278922804770449</c:v>
                </c:pt>
                <c:pt idx="5">
                  <c:v>1.2954164323118698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08-46DA-8F10-E2E8D0E3B370}"/>
            </c:ext>
          </c:extLst>
        </c:ser>
        <c:ser>
          <c:idx val="1"/>
          <c:order val="1"/>
          <c:tx>
            <c:v>raiz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Secante_Ej2!$B$22</c:f>
              <c:numCache>
                <c:formatCode>General</c:formatCode>
                <c:ptCount val="1"/>
                <c:pt idx="0">
                  <c:v>5.7064181527107776</c:v>
                </c:pt>
              </c:numCache>
            </c:numRef>
          </c:xVal>
          <c:yVal>
            <c:numRef>
              <c:f>Secante_Ej2!$C$22</c:f>
              <c:numCache>
                <c:formatCode>General</c:formatCode>
                <c:ptCount val="1"/>
                <c:pt idx="0">
                  <c:v>-3.0137685236297784E-7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08-46DA-8F10-E2E8D0E3B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223087"/>
        <c:axId val="1021940511"/>
      </c:scatterChart>
      <c:valAx>
        <c:axId val="103222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21940511"/>
        <c:crosses val="autoZero"/>
        <c:crossBetween val="midCat"/>
      </c:valAx>
      <c:valAx>
        <c:axId val="102194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f(x)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32223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16</xdr:row>
      <xdr:rowOff>4762</xdr:rowOff>
    </xdr:from>
    <xdr:to>
      <xdr:col>9</xdr:col>
      <xdr:colOff>0</xdr:colOff>
      <xdr:row>30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94335F-C514-B710-3090-3DD534CD9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B16" sqref="B16"/>
    </sheetView>
  </sheetViews>
  <sheetFormatPr baseColWidth="10" defaultColWidth="9.140625" defaultRowHeight="15" x14ac:dyDescent="0.25"/>
  <cols>
    <col min="1" max="8" width="14" customWidth="1"/>
  </cols>
  <sheetData>
    <row r="1" spans="1:8" ht="18.75" x14ac:dyDescent="0.3">
      <c r="A1" s="7" t="s">
        <v>0</v>
      </c>
      <c r="B1" s="8"/>
      <c r="C1" s="8"/>
      <c r="D1" s="8"/>
      <c r="E1" s="8"/>
      <c r="F1" s="8"/>
      <c r="G1" s="8"/>
      <c r="H1" s="8"/>
    </row>
    <row r="3" spans="1:8" x14ac:dyDescent="0.25">
      <c r="A3" s="1" t="s">
        <v>1</v>
      </c>
      <c r="B3" s="8" t="s">
        <v>2</v>
      </c>
      <c r="C3" s="8"/>
      <c r="D3" s="8"/>
      <c r="E3" s="8"/>
      <c r="F3" s="8"/>
      <c r="G3" s="8"/>
      <c r="H3" s="8"/>
    </row>
    <row r="5" spans="1:8" x14ac:dyDescent="0.25">
      <c r="A5" s="1" t="s">
        <v>3</v>
      </c>
      <c r="B5" s="8" t="s">
        <v>4</v>
      </c>
      <c r="C5" s="8"/>
      <c r="D5" s="8"/>
    </row>
    <row r="7" spans="1:8" x14ac:dyDescent="0.25">
      <c r="A7" s="1" t="s">
        <v>5</v>
      </c>
    </row>
    <row r="9" spans="1:8" x14ac:dyDescent="0.25">
      <c r="A9" s="2" t="s">
        <v>6</v>
      </c>
      <c r="B9" s="2" t="s">
        <v>7</v>
      </c>
    </row>
    <row r="10" spans="1:8" x14ac:dyDescent="0.25">
      <c r="A10" s="3">
        <f>0</f>
        <v>0</v>
      </c>
      <c r="B10" s="3">
        <f>3*SIN(0.5*A10)-0.5*A10+2</f>
        <v>2</v>
      </c>
    </row>
    <row r="11" spans="1:8" x14ac:dyDescent="0.25">
      <c r="A11" s="3">
        <f>A10+1</f>
        <v>1</v>
      </c>
      <c r="B11" s="3">
        <f>3*SIN(0.5*A11)-0.5*A11+2</f>
        <v>2.938276615812609</v>
      </c>
      <c r="D11" s="8" t="s">
        <v>8</v>
      </c>
      <c r="E11" s="8"/>
      <c r="F11" s="8"/>
      <c r="G11" s="8"/>
      <c r="H11" s="8"/>
    </row>
    <row r="12" spans="1:8" x14ac:dyDescent="0.25">
      <c r="A12" s="3">
        <v>2</v>
      </c>
      <c r="B12" s="3">
        <f t="shared" ref="B12:B15" si="0">3*SIN(0.5*A12)-0.5*A12+2</f>
        <v>3.5244129544236893</v>
      </c>
    </row>
    <row r="13" spans="1:8" x14ac:dyDescent="0.25">
      <c r="A13" s="3">
        <v>3</v>
      </c>
      <c r="B13" s="3">
        <f t="shared" si="0"/>
        <v>3.4924849598121632</v>
      </c>
      <c r="D13" s="1" t="s">
        <v>9</v>
      </c>
      <c r="E13" s="4" t="s">
        <v>10</v>
      </c>
    </row>
    <row r="14" spans="1:8" x14ac:dyDescent="0.25">
      <c r="A14" s="3">
        <v>4</v>
      </c>
      <c r="B14" s="3">
        <f t="shared" si="0"/>
        <v>2.7278922804770449</v>
      </c>
      <c r="D14" t="s">
        <v>11</v>
      </c>
      <c r="E14" s="4" t="s">
        <v>12</v>
      </c>
    </row>
    <row r="15" spans="1:8" x14ac:dyDescent="0.25">
      <c r="A15" s="5">
        <v>5</v>
      </c>
      <c r="B15" s="9">
        <f t="shared" si="0"/>
        <v>1.2954164323118698</v>
      </c>
    </row>
    <row r="16" spans="1:8" x14ac:dyDescent="0.25">
      <c r="A16" s="6" t="s">
        <v>13</v>
      </c>
      <c r="B16" s="5">
        <v>-0.57663997582039839</v>
      </c>
    </row>
    <row r="17" spans="1:8" x14ac:dyDescent="0.25">
      <c r="A17" s="2" t="s">
        <v>14</v>
      </c>
      <c r="B17" s="2" t="s">
        <v>15</v>
      </c>
      <c r="C17" s="2" t="s">
        <v>16</v>
      </c>
    </row>
    <row r="18" spans="1:8" x14ac:dyDescent="0.25">
      <c r="A18" s="3">
        <f>0</f>
        <v>0</v>
      </c>
      <c r="B18" s="3">
        <f>5</f>
        <v>5</v>
      </c>
      <c r="C18" s="3">
        <f>3*SIN(0.5*B18)-0.5*B18+2</f>
        <v>1.2954164323118698</v>
      </c>
    </row>
    <row r="19" spans="1:8" x14ac:dyDescent="0.25">
      <c r="A19" s="3">
        <f>1</f>
        <v>1</v>
      </c>
      <c r="B19" s="3">
        <f>6</f>
        <v>6</v>
      </c>
      <c r="C19" s="3">
        <f>3*SIN(0.5*B19)-0.5*B19+2</f>
        <v>-0.57663997582039839</v>
      </c>
    </row>
    <row r="20" spans="1:8" x14ac:dyDescent="0.25">
      <c r="A20" s="3">
        <f>A19+1</f>
        <v>2</v>
      </c>
      <c r="B20" s="3">
        <f>B19-C19*(B18-B19)/(C18-C19)</f>
        <v>5.6919751064575523</v>
      </c>
      <c r="C20" s="3">
        <f>3*SIN(0.5*B20)-0.5*B20+2</f>
        <v>2.7968721321341095E-2</v>
      </c>
    </row>
    <row r="21" spans="1:8" x14ac:dyDescent="0.25">
      <c r="A21" s="3">
        <f t="shared" ref="A21:A22" si="1">A20+1</f>
        <v>3</v>
      </c>
      <c r="B21" s="3">
        <f t="shared" ref="B21:B22" si="2">B20-C20*(B19-B20)/(C19-C20)</f>
        <v>5.7062240950153615</v>
      </c>
      <c r="C21" s="3">
        <f t="shared" ref="C21:C22" si="3">3*SIN(0.5*B21)-0.5*B21+2</f>
        <v>3.7578953277472849E-4</v>
      </c>
      <c r="D21" s="11"/>
    </row>
    <row r="22" spans="1:8" x14ac:dyDescent="0.25">
      <c r="A22" s="10">
        <f t="shared" si="1"/>
        <v>4</v>
      </c>
      <c r="B22" s="10">
        <f t="shared" si="2"/>
        <v>5.7064181527107776</v>
      </c>
      <c r="C22" s="10">
        <f t="shared" si="3"/>
        <v>-3.0137685236297784E-7</v>
      </c>
    </row>
    <row r="25" spans="1:8" x14ac:dyDescent="0.25">
      <c r="A25" s="1" t="s">
        <v>17</v>
      </c>
    </row>
    <row r="26" spans="1:8" x14ac:dyDescent="0.25">
      <c r="A26" s="8" t="s">
        <v>18</v>
      </c>
      <c r="B26" s="8"/>
      <c r="C26" s="8"/>
      <c r="D26" s="8"/>
      <c r="E26" s="8"/>
      <c r="F26" s="8"/>
      <c r="G26" s="8"/>
      <c r="H26" s="8"/>
    </row>
  </sheetData>
  <mergeCells count="5">
    <mergeCell ref="A1:H1"/>
    <mergeCell ref="B3:H3"/>
    <mergeCell ref="B5:D5"/>
    <mergeCell ref="D11:H11"/>
    <mergeCell ref="A26:H2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Secante_Ej2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Genesis Jalid Tapia Cortez</cp:lastModifiedBy>
  <dcterms:created xsi:type="dcterms:W3CDTF">2025-11-30T16:09:39Z</dcterms:created>
  <dcterms:modified xsi:type="dcterms:W3CDTF">2025-11-30T17:48:12Z</dcterms:modified>
</cp:coreProperties>
</file>