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OMPU\Desktop\U\METODOS NUMERICOS\PROYECTO RAICES\"/>
    </mc:Choice>
  </mc:AlternateContent>
  <xr:revisionPtr revIDLastSave="0" documentId="13_ncr:1_{AC73A8DA-AD3D-4915-9BD9-212F99DC1ECF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Biseccion_Ej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  <c r="C20" i="1"/>
  <c r="C21" i="1" s="1"/>
  <c r="C22" i="1" s="1"/>
  <c r="C23" i="1" s="1"/>
  <c r="C24" i="1" s="1"/>
  <c r="C25" i="1" s="1"/>
  <c r="D20" i="1"/>
  <c r="F20" i="1" s="1"/>
  <c r="I20" i="1" s="1"/>
  <c r="E20" i="1"/>
  <c r="H20" i="1" s="1"/>
  <c r="I19" i="1"/>
  <c r="H19" i="1"/>
  <c r="G19" i="1"/>
  <c r="F19" i="1"/>
  <c r="E19" i="1"/>
  <c r="D19" i="1"/>
  <c r="C19" i="1"/>
  <c r="I18" i="1"/>
  <c r="H18" i="1"/>
  <c r="G18" i="1"/>
  <c r="F18" i="1"/>
  <c r="E18" i="1"/>
  <c r="D18" i="1"/>
  <c r="C18" i="1"/>
  <c r="B17" i="1"/>
  <c r="B18" i="1"/>
  <c r="B19" i="1"/>
  <c r="B21" i="1"/>
  <c r="B22" i="1"/>
  <c r="B23" i="1"/>
  <c r="B24" i="1"/>
  <c r="A18" i="1"/>
  <c r="A19" i="1"/>
  <c r="A20" i="1" s="1"/>
  <c r="A21" i="1" s="1"/>
  <c r="A22" i="1" s="1"/>
  <c r="A23" i="1" s="1"/>
  <c r="A24" i="1" s="1"/>
  <c r="B16" i="1"/>
  <c r="A17" i="1"/>
  <c r="A16" i="1"/>
  <c r="G20" i="1" l="1"/>
  <c r="D21" i="1" l="1"/>
  <c r="E21" i="1"/>
  <c r="H21" i="1" s="1"/>
  <c r="F21" i="1" l="1"/>
  <c r="I21" i="1" s="1"/>
  <c r="G21" i="1"/>
  <c r="D22" i="1" l="1"/>
  <c r="E22" i="1"/>
  <c r="H22" i="1" s="1"/>
  <c r="F22" i="1" l="1"/>
  <c r="I22" i="1" s="1"/>
  <c r="G22" i="1"/>
  <c r="D23" i="1" l="1"/>
  <c r="E23" i="1"/>
  <c r="H23" i="1" s="1"/>
  <c r="F23" i="1" l="1"/>
  <c r="I23" i="1" s="1"/>
  <c r="G23" i="1"/>
  <c r="D24" i="1" l="1"/>
  <c r="E24" i="1"/>
  <c r="H24" i="1" s="1"/>
  <c r="F24" i="1" l="1"/>
  <c r="I24" i="1" s="1"/>
  <c r="G24" i="1"/>
  <c r="D25" i="1" l="1"/>
  <c r="E25" i="1"/>
  <c r="H25" i="1" s="1"/>
  <c r="F25" i="1" l="1"/>
  <c r="I25" i="1" s="1"/>
  <c r="G25" i="1"/>
</calcChain>
</file>

<file path=xl/sharedStrings.xml><?xml version="1.0" encoding="utf-8"?>
<sst xmlns="http://schemas.openxmlformats.org/spreadsheetml/2006/main" count="20" uniqueCount="20">
  <si>
    <t>RAICES -&gt; BISECCION</t>
  </si>
  <si>
    <t>Ejercicio 2</t>
  </si>
  <si>
    <t>3 sen(0,5x) - 0,5x + 2 = 0</t>
  </si>
  <si>
    <t>Si f(a)*f(m) &lt; 0</t>
  </si>
  <si>
    <t xml:space="preserve">  =&gt; b = m_anterior</t>
  </si>
  <si>
    <t xml:space="preserve">  =&gt; a = a_anterior</t>
  </si>
  <si>
    <t>Si f(b)*f(m) &lt; 0</t>
  </si>
  <si>
    <t xml:space="preserve">  =&gt; a = m_anterior</t>
  </si>
  <si>
    <t xml:space="preserve">  =&gt; b = b_anterior</t>
  </si>
  <si>
    <t>x</t>
  </si>
  <si>
    <t>y</t>
  </si>
  <si>
    <t>tol</t>
  </si>
  <si>
    <t>#</t>
  </si>
  <si>
    <t>a</t>
  </si>
  <si>
    <t>b</t>
  </si>
  <si>
    <t>m</t>
  </si>
  <si>
    <t>f(a)</t>
  </si>
  <si>
    <t>f(b)</t>
  </si>
  <si>
    <t>f(m)</t>
  </si>
  <si>
    <t>RAIZ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</si>
</sst>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0" fillId="0" borderId="0" xfId="0"/>
    <xf numFmtId="0" fontId="0" fillId="0" borderId="2" xfId="0" applyBorder="1"/>
    <xf numFmtId="0" fontId="0" fillId="0" borderId="4" xfId="0" applyBorder="1"/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Gráfica de la función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Biseccion_Ej2!$B$15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Biseccion_Ej2!$A$16:$A$24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Biseccion_Ej2!$B$16:$B$24</c:f>
              <c:numCache>
                <c:formatCode>General</c:formatCode>
                <c:ptCount val="9"/>
                <c:pt idx="0">
                  <c:v>2</c:v>
                </c:pt>
                <c:pt idx="1">
                  <c:v>2.938276615812609</c:v>
                </c:pt>
                <c:pt idx="2">
                  <c:v>3.5244129544236893</c:v>
                </c:pt>
                <c:pt idx="3">
                  <c:v>3.4924849598121632</c:v>
                </c:pt>
                <c:pt idx="4">
                  <c:v>2.7278922804770449</c:v>
                </c:pt>
                <c:pt idx="5">
                  <c:v>1.2954164323118698</c:v>
                </c:pt>
                <c:pt idx="6">
                  <c:v>-0.57663997582039839</c:v>
                </c:pt>
                <c:pt idx="7">
                  <c:v>-2.5523496830688597</c:v>
                </c:pt>
                <c:pt idx="8">
                  <c:v>-4.2704074859237844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6F-4E70-A65D-4091E0A21758}"/>
            </c:ext>
          </c:extLst>
        </c:ser>
        <c:ser>
          <c:idx val="1"/>
          <c:order val="1"/>
          <c:tx>
            <c:v>raiz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Biseccion_Ej2!$F$25</c:f>
              <c:numCache>
                <c:formatCode>General</c:formatCode>
                <c:ptCount val="1"/>
                <c:pt idx="0">
                  <c:v>5.70703125</c:v>
                </c:pt>
              </c:numCache>
            </c:numRef>
          </c:xVal>
          <c:yVal>
            <c:numRef>
              <c:f>Biseccion_Ej2!$I$25</c:f>
              <c:numCache>
                <c:formatCode>General</c:formatCode>
                <c:ptCount val="1"/>
                <c:pt idx="0">
                  <c:v>-1.1885591072906543E-3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6F-4E70-A65D-4091E0A21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945503"/>
        <c:axId val="989168719"/>
      </c:scatterChart>
      <c:valAx>
        <c:axId val="111194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989168719"/>
        <c:crosses val="autoZero"/>
        <c:crossBetween val="midCat"/>
      </c:valAx>
      <c:valAx>
        <c:axId val="98916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BO" sz="1000" b="0" i="0" u="none" strike="noStrike" baseline="0"/>
                  <a:t>f(x)</a:t>
                </a:r>
                <a:endParaRPr lang="es-B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11194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123824</xdr:colOff>
      <xdr:row>0</xdr:row>
      <xdr:rowOff>90487</xdr:rowOff>
    </xdr:from>
    <xdr:to>
      <xdr:col>7</xdr:col>
      <xdr:colOff>304799</xdr:colOff>
      <xdr:row>13</xdr:row>
      <xdr:rowOff>38100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96314C1-A2B0-7BF7-8AA8-61ADEC9846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D15" sqref="D15"/>
    </sheetView>
  </sheetViews>
  <sheetFormatPr baseColWidth="10" defaultColWidth="9.140625" defaultRowHeight="15" x14ac:dyDescent="0.25"/>
  <cols>
    <col min="1" max="9" width="14" customWidth="1"/>
    <col min="10" max="10" width="13" customWidth="1"/>
  </cols>
  <sheetData>
    <row r="1" spans="1:8" ht="18.75" x14ac:dyDescent="0.3">
      <c r="A1" s="4" t="s">
        <v>0</v>
      </c>
      <c r="B1" s="5"/>
      <c r="C1" s="5"/>
      <c r="D1" s="5"/>
      <c r="E1" s="5"/>
      <c r="F1" s="5"/>
      <c r="G1" s="5"/>
      <c r="H1" s="5"/>
    </row>
    <row r="3" spans="1:8" x14ac:dyDescent="0.25">
      <c r="A3" s="1" t="s">
        <v>1</v>
      </c>
    </row>
    <row r="4" spans="1:8" x14ac:dyDescent="0.25">
      <c r="A4" s="5" t="s">
        <v>2</v>
      </c>
      <c r="B4" s="5"/>
      <c r="C4" s="5"/>
      <c r="D4" s="5"/>
    </row>
    <row r="6" spans="1:8" x14ac:dyDescent="0.25">
      <c r="A6" t="s">
        <v>3</v>
      </c>
    </row>
    <row r="7" spans="1:8" x14ac:dyDescent="0.25">
      <c r="A7" t="s">
        <v>4</v>
      </c>
    </row>
    <row r="8" spans="1:8" x14ac:dyDescent="0.25">
      <c r="A8" t="s">
        <v>5</v>
      </c>
    </row>
    <row r="10" spans="1:8" x14ac:dyDescent="0.25">
      <c r="A10" t="s">
        <v>6</v>
      </c>
    </row>
    <row r="11" spans="1:8" x14ac:dyDescent="0.25">
      <c r="A11" t="s">
        <v>7</v>
      </c>
    </row>
    <row r="12" spans="1:8" x14ac:dyDescent="0.25">
      <c r="A12" t="s">
        <v>8</v>
      </c>
    </row>
    <row r="15" spans="1:8" x14ac:dyDescent="0.25">
      <c r="A15" s="2" t="s">
        <v>9</v>
      </c>
      <c r="B15" s="2" t="s">
        <v>10</v>
      </c>
      <c r="H15" s="2" t="s">
        <v>11</v>
      </c>
    </row>
    <row r="16" spans="1:8" x14ac:dyDescent="0.25">
      <c r="A16" s="3">
        <f>0</f>
        <v>0</v>
      </c>
      <c r="B16" s="3">
        <f>3*SIN(0.5*A16)-0.5*A16+2</f>
        <v>2</v>
      </c>
      <c r="H16" s="3">
        <v>5.0000000000000001E-3</v>
      </c>
    </row>
    <row r="17" spans="1:9" x14ac:dyDescent="0.25">
      <c r="A17" s="3">
        <f>A16+1</f>
        <v>1</v>
      </c>
      <c r="B17" s="3">
        <f t="shared" ref="B17:B24" si="0">3*SIN(0.5*A17)-0.5*A17+2</f>
        <v>2.938276615812609</v>
      </c>
      <c r="C17" s="8" t="s">
        <v>12</v>
      </c>
      <c r="D17" s="8" t="s">
        <v>13</v>
      </c>
      <c r="E17" s="8" t="s">
        <v>14</v>
      </c>
      <c r="F17" s="8" t="s">
        <v>15</v>
      </c>
      <c r="G17" s="8" t="s">
        <v>16</v>
      </c>
      <c r="H17" s="8" t="s">
        <v>17</v>
      </c>
      <c r="I17" s="8" t="s">
        <v>18</v>
      </c>
    </row>
    <row r="18" spans="1:9" x14ac:dyDescent="0.25">
      <c r="A18" s="3">
        <f t="shared" ref="A18:A24" si="1">A17+1</f>
        <v>2</v>
      </c>
      <c r="B18" s="7">
        <f t="shared" si="0"/>
        <v>3.5244129544236893</v>
      </c>
      <c r="C18" s="6">
        <f>0</f>
        <v>0</v>
      </c>
      <c r="D18" s="6">
        <f>5</f>
        <v>5</v>
      </c>
      <c r="E18" s="6">
        <f>6</f>
        <v>6</v>
      </c>
      <c r="F18" s="6">
        <f>(D18+E18)/2</f>
        <v>5.5</v>
      </c>
      <c r="G18" s="6">
        <f>3*SIN(0.5*D18)-0.5*D18+2</f>
        <v>1.2954164323118698</v>
      </c>
      <c r="H18" s="9">
        <f>3*SIN(0.5*E18)-0.5*E18+2</f>
        <v>-0.57663997582039839</v>
      </c>
      <c r="I18" s="6">
        <f>3*SIN(0.5*F18)-0.5*F18+2</f>
        <v>0.39498297615699496</v>
      </c>
    </row>
    <row r="19" spans="1:9" x14ac:dyDescent="0.25">
      <c r="A19" s="3">
        <f t="shared" si="1"/>
        <v>3</v>
      </c>
      <c r="B19" s="7">
        <f t="shared" si="0"/>
        <v>3.4924849598121632</v>
      </c>
      <c r="C19" s="6">
        <f>C18+1</f>
        <v>1</v>
      </c>
      <c r="D19" s="6">
        <f>IF(G18*I18&lt;0,D18,F18)</f>
        <v>5.5</v>
      </c>
      <c r="E19" s="6">
        <f>IF(G18*I18&lt;0,F18,E18)</f>
        <v>6</v>
      </c>
      <c r="F19" s="6">
        <f>(D19+E19)/2</f>
        <v>5.75</v>
      </c>
      <c r="G19" s="6">
        <f>3*SIN(0.5*D19)-0.5*D19+2</f>
        <v>0.39498297615699496</v>
      </c>
      <c r="H19" s="6">
        <f>3*SIN(0.5*E19)-0.5*E19+2</f>
        <v>-0.57663997582039839</v>
      </c>
      <c r="I19" s="6">
        <f>3*SIN(0.5*F19)-0.5*F19+2</f>
        <v>-8.4662019909737651E-2</v>
      </c>
    </row>
    <row r="20" spans="1:9" x14ac:dyDescent="0.25">
      <c r="A20" s="3">
        <f t="shared" si="1"/>
        <v>4</v>
      </c>
      <c r="B20" s="7">
        <f>3*SIN(0.5*A20)-0.5*A20+2</f>
        <v>2.7278922804770449</v>
      </c>
      <c r="C20" s="6">
        <f t="shared" ref="C20:C25" si="2">C19+1</f>
        <v>2</v>
      </c>
      <c r="D20" s="6">
        <f t="shared" ref="D20:D25" si="3">IF(G19*I19&lt;0,D19,F19)</f>
        <v>5.5</v>
      </c>
      <c r="E20" s="6">
        <f t="shared" ref="E20:E25" si="4">IF(G19*I19&lt;0,F19,E19)</f>
        <v>5.75</v>
      </c>
      <c r="F20" s="6">
        <f t="shared" ref="F20:F25" si="5">(D20+E20)/2</f>
        <v>5.625</v>
      </c>
      <c r="G20" s="6">
        <f t="shared" ref="G20:G25" si="6">3*SIN(0.5*D20)-0.5*D20+2</f>
        <v>0.39498297615699496</v>
      </c>
      <c r="H20" s="6">
        <f t="shared" ref="H20:H25" si="7">3*SIN(0.5*E20)-0.5*E20+2</f>
        <v>-8.4662019909737651E-2</v>
      </c>
      <c r="I20" s="6">
        <f t="shared" ref="I20:I25" si="8">3*SIN(0.5*F20)-0.5*F20+2</f>
        <v>0.15705352099906067</v>
      </c>
    </row>
    <row r="21" spans="1:9" x14ac:dyDescent="0.25">
      <c r="A21" s="3">
        <f t="shared" si="1"/>
        <v>5</v>
      </c>
      <c r="B21" s="7">
        <f t="shared" si="0"/>
        <v>1.2954164323118698</v>
      </c>
      <c r="C21" s="6">
        <f t="shared" si="2"/>
        <v>3</v>
      </c>
      <c r="D21" s="6">
        <f t="shared" si="3"/>
        <v>5.625</v>
      </c>
      <c r="E21" s="6">
        <f t="shared" si="4"/>
        <v>5.75</v>
      </c>
      <c r="F21" s="6">
        <f t="shared" si="5"/>
        <v>5.6875</v>
      </c>
      <c r="G21" s="6">
        <f t="shared" si="6"/>
        <v>0.15705352099906067</v>
      </c>
      <c r="H21" s="6">
        <f t="shared" si="7"/>
        <v>-8.4662019909737651E-2</v>
      </c>
      <c r="I21" s="6">
        <f t="shared" si="8"/>
        <v>3.6625586454641201E-2</v>
      </c>
    </row>
    <row r="22" spans="1:9" x14ac:dyDescent="0.25">
      <c r="A22" s="3">
        <f t="shared" si="1"/>
        <v>6</v>
      </c>
      <c r="B22" s="7">
        <f t="shared" si="0"/>
        <v>-0.57663997582039839</v>
      </c>
      <c r="C22" s="6">
        <f t="shared" si="2"/>
        <v>4</v>
      </c>
      <c r="D22" s="6">
        <f t="shared" si="3"/>
        <v>5.6875</v>
      </c>
      <c r="E22" s="6">
        <f t="shared" si="4"/>
        <v>5.75</v>
      </c>
      <c r="F22" s="6">
        <f t="shared" si="5"/>
        <v>5.71875</v>
      </c>
      <c r="G22" s="6">
        <f t="shared" si="6"/>
        <v>3.6625586454641201E-2</v>
      </c>
      <c r="H22" s="6">
        <f t="shared" si="7"/>
        <v>-8.4662019909737651E-2</v>
      </c>
      <c r="I22" s="6">
        <f t="shared" si="8"/>
        <v>-2.3916234089780275E-2</v>
      </c>
    </row>
    <row r="23" spans="1:9" x14ac:dyDescent="0.25">
      <c r="A23" s="3">
        <f t="shared" si="1"/>
        <v>7</v>
      </c>
      <c r="B23" s="7">
        <f t="shared" si="0"/>
        <v>-2.5523496830688597</v>
      </c>
      <c r="C23" s="6">
        <f t="shared" si="2"/>
        <v>5</v>
      </c>
      <c r="D23" s="6">
        <f t="shared" si="3"/>
        <v>5.6875</v>
      </c>
      <c r="E23" s="6">
        <f t="shared" si="4"/>
        <v>5.71875</v>
      </c>
      <c r="F23" s="6">
        <f t="shared" si="5"/>
        <v>5.703125</v>
      </c>
      <c r="G23" s="6">
        <f t="shared" si="6"/>
        <v>3.6625586454641201E-2</v>
      </c>
      <c r="H23" s="6">
        <f t="shared" si="7"/>
        <v>-2.3916234089780275E-2</v>
      </c>
      <c r="I23" s="6">
        <f t="shared" si="8"/>
        <v>6.3808584027273962E-3</v>
      </c>
    </row>
    <row r="24" spans="1:9" x14ac:dyDescent="0.25">
      <c r="A24" s="3">
        <f t="shared" si="1"/>
        <v>8</v>
      </c>
      <c r="B24" s="7">
        <f t="shared" si="0"/>
        <v>-4.2704074859237844</v>
      </c>
      <c r="C24" s="6">
        <f t="shared" si="2"/>
        <v>6</v>
      </c>
      <c r="D24" s="6">
        <f t="shared" si="3"/>
        <v>5.703125</v>
      </c>
      <c r="E24" s="6">
        <f t="shared" si="4"/>
        <v>5.71875</v>
      </c>
      <c r="F24" s="6">
        <f t="shared" si="5"/>
        <v>5.7109375</v>
      </c>
      <c r="G24" s="6">
        <f t="shared" si="6"/>
        <v>6.3808584027273962E-3</v>
      </c>
      <c r="H24" s="6">
        <f t="shared" si="7"/>
        <v>-2.3916234089780275E-2</v>
      </c>
      <c r="I24" s="6">
        <f t="shared" si="8"/>
        <v>-8.7612279860023179E-3</v>
      </c>
    </row>
    <row r="25" spans="1:9" x14ac:dyDescent="0.25">
      <c r="C25" s="10">
        <f t="shared" si="2"/>
        <v>7</v>
      </c>
      <c r="D25" s="10">
        <f t="shared" si="3"/>
        <v>5.703125</v>
      </c>
      <c r="E25" s="10">
        <f t="shared" si="4"/>
        <v>5.7109375</v>
      </c>
      <c r="F25" s="10">
        <f t="shared" si="5"/>
        <v>5.70703125</v>
      </c>
      <c r="G25" s="10">
        <f t="shared" si="6"/>
        <v>6.3808584027273962E-3</v>
      </c>
      <c r="H25" s="10">
        <f t="shared" si="7"/>
        <v>-8.7612279860023179E-3</v>
      </c>
      <c r="I25" s="10">
        <f t="shared" si="8"/>
        <v>-1.1885591072906543E-3</v>
      </c>
    </row>
    <row r="26" spans="1:9" x14ac:dyDescent="0.25">
      <c r="F26" t="s">
        <v>19</v>
      </c>
    </row>
  </sheetData>
  <mergeCells count="2">
    <mergeCell ref="A1:H1"/>
    <mergeCell ref="A4:D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Biseccion_Ej2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Genesis Jalid Tapia Cortez</cp:lastModifiedBy>
  <dcterms:created xsi:type="dcterms:W3CDTF">2025-11-30T16:09:39Z</dcterms:created>
  <dcterms:modified xsi:type="dcterms:W3CDTF">2025-11-30T19:29:21Z</dcterms:modified>
</cp:coreProperties>
</file>