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E3A3EF2F-AD50-43AA-ABEA-259220604ACB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Newton_Ej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F15" i="1"/>
  <c r="F16" i="1"/>
  <c r="F17" i="1"/>
  <c r="F18" i="1" s="1"/>
  <c r="F19" i="1" s="1"/>
  <c r="F20" i="1" s="1"/>
  <c r="F21" i="1" s="1"/>
  <c r="G13" i="1"/>
  <c r="F14" i="1"/>
  <c r="F13" i="1"/>
  <c r="A15" i="1"/>
  <c r="A16" i="1" s="1"/>
  <c r="B15" i="1"/>
  <c r="B16" i="1" s="1"/>
  <c r="C15" i="1"/>
  <c r="D15" i="1"/>
  <c r="D14" i="1"/>
  <c r="C14" i="1"/>
  <c r="B14" i="1"/>
  <c r="A14" i="1"/>
  <c r="C16" i="1" l="1"/>
  <c r="D16" i="1"/>
  <c r="D13" i="1"/>
  <c r="C13" i="1"/>
  <c r="B13" i="1"/>
  <c r="A13" i="1"/>
</calcChain>
</file>

<file path=xl/sharedStrings.xml><?xml version="1.0" encoding="utf-8"?>
<sst xmlns="http://schemas.openxmlformats.org/spreadsheetml/2006/main" count="15" uniqueCount="15">
  <si>
    <t>RAÍCES → MÉTODO DE NEWTON - RAPHSON</t>
  </si>
  <si>
    <t>Ejercicio 2:</t>
  </si>
  <si>
    <t>Determinar la solución de la ecuación 3·sen(0,5x) − 0,5x + 2 = 0.</t>
  </si>
  <si>
    <t>Función:</t>
  </si>
  <si>
    <t>f(x) = 3·sen(0,5x) − 0,5x + 2</t>
  </si>
  <si>
    <t>tol = 0.00005</t>
  </si>
  <si>
    <t>Derivada:</t>
  </si>
  <si>
    <t>f'(x) = 1,5·cos(0,5x) − 0,5</t>
  </si>
  <si>
    <t>Condición: |f(x_i)| ≤ tol</t>
  </si>
  <si>
    <t>#</t>
  </si>
  <si>
    <t>x_i</t>
  </si>
  <si>
    <t>f(x_i)</t>
  </si>
  <si>
    <t>f'(x_i)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</si>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</sst>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Newton_Ej2!$G$12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Newton_Ej2!$F$13:$F$21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Newton_Ej2!$G$13:$G$21</c:f>
              <c:numCache>
                <c:formatCode>General</c:formatCode>
                <c:ptCount val="9"/>
                <c:pt idx="0">
                  <c:v>2</c:v>
                </c:pt>
                <c:pt idx="1">
                  <c:v>2.938276615812609</c:v>
                </c:pt>
                <c:pt idx="2">
                  <c:v>3.5244129544236893</c:v>
                </c:pt>
                <c:pt idx="3">
                  <c:v>3.4924849598121632</c:v>
                </c:pt>
                <c:pt idx="4">
                  <c:v>2.7278922804770449</c:v>
                </c:pt>
                <c:pt idx="5">
                  <c:v>1.2954164323118698</c:v>
                </c:pt>
                <c:pt idx="6">
                  <c:v>-0.57663997582039839</c:v>
                </c:pt>
                <c:pt idx="7">
                  <c:v>-2.5523496830688597</c:v>
                </c:pt>
                <c:pt idx="8">
                  <c:v>-4.2704074859237844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16-48DE-91C0-3B76C9CD53DE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Newton_Ej2!$B$16</c:f>
              <c:numCache>
                <c:formatCode>General</c:formatCode>
                <c:ptCount val="1"/>
                <c:pt idx="0">
                  <c:v>5.7064179985159509</c:v>
                </c:pt>
              </c:numCache>
            </c:numRef>
          </c:xVal>
          <c:yVal>
            <c:numRef>
              <c:f>Newton_Ej2!$C$16</c:f>
              <c:numCache>
                <c:formatCode>General</c:formatCode>
                <c:ptCount val="1"/>
                <c:pt idx="0">
                  <c:v>-2.5384503388181656E-9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16-48DE-91C0-3B76C9CD5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34607"/>
        <c:axId val="966000191"/>
      </c:scatterChart>
      <c:valAx>
        <c:axId val="88813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6000191"/>
        <c:crosses val="autoZero"/>
        <c:crossBetween val="midCat"/>
      </c:valAx>
      <c:valAx>
        <c:axId val="96600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3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166687</xdr:rowOff>
    </xdr:from>
    <xdr:to>
      <xdr:col>4</xdr:col>
      <xdr:colOff>838200</xdr:colOff>
      <xdr:row>31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ADEF85-0EE0-F9A3-C71E-C82FD2C57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26" sqref="G26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5" t="s">
        <v>0</v>
      </c>
      <c r="B1" s="6"/>
      <c r="C1" s="6"/>
      <c r="D1" s="6"/>
      <c r="E1" s="6"/>
      <c r="F1" s="6"/>
      <c r="G1" s="6"/>
      <c r="H1" s="6"/>
    </row>
    <row r="3" spans="1:8" x14ac:dyDescent="0.25">
      <c r="A3" s="1" t="s">
        <v>1</v>
      </c>
      <c r="B3" s="6" t="s">
        <v>2</v>
      </c>
      <c r="C3" s="6"/>
      <c r="D3" s="6"/>
      <c r="E3" s="6"/>
      <c r="F3" s="6"/>
      <c r="G3" s="6"/>
      <c r="H3" s="6"/>
    </row>
    <row r="5" spans="1:8" x14ac:dyDescent="0.25">
      <c r="A5" s="1" t="s">
        <v>3</v>
      </c>
      <c r="B5" s="6" t="s">
        <v>4</v>
      </c>
      <c r="C5" s="6"/>
      <c r="D5" s="6"/>
      <c r="F5" s="2" t="s">
        <v>5</v>
      </c>
    </row>
    <row r="6" spans="1:8" x14ac:dyDescent="0.25">
      <c r="A6" s="1" t="s">
        <v>6</v>
      </c>
      <c r="B6" s="6" t="s">
        <v>7</v>
      </c>
      <c r="C6" s="6"/>
      <c r="D6" s="6"/>
      <c r="F6" s="2" t="s">
        <v>8</v>
      </c>
    </row>
    <row r="12" spans="1:8" x14ac:dyDescent="0.25">
      <c r="A12" s="3" t="s">
        <v>9</v>
      </c>
      <c r="B12" s="3" t="s">
        <v>10</v>
      </c>
      <c r="C12" s="3" t="s">
        <v>11</v>
      </c>
      <c r="D12" s="3" t="s">
        <v>12</v>
      </c>
      <c r="F12" s="3" t="s">
        <v>13</v>
      </c>
      <c r="G12" s="3" t="s">
        <v>14</v>
      </c>
    </row>
    <row r="13" spans="1:8" x14ac:dyDescent="0.25">
      <c r="A13" s="4">
        <f>0</f>
        <v>0</v>
      </c>
      <c r="B13" s="4">
        <f>5</f>
        <v>5</v>
      </c>
      <c r="C13" s="4">
        <f>3*SIN(0.5*B13)-0.5*B13+2</f>
        <v>1.2954164323118698</v>
      </c>
      <c r="D13">
        <f>1.5*COS(0.5*B13)-0.5</f>
        <v>-1.7017154233204006</v>
      </c>
      <c r="F13" s="4">
        <f>0</f>
        <v>0</v>
      </c>
      <c r="G13" s="4">
        <f>3*SIN(0.5*F13)-0.5*F13+2</f>
        <v>2</v>
      </c>
    </row>
    <row r="14" spans="1:8" x14ac:dyDescent="0.25">
      <c r="A14" s="4">
        <f>A13+1</f>
        <v>1</v>
      </c>
      <c r="B14" s="4">
        <f>B13-C13/D13</f>
        <v>5.7612415181524552</v>
      </c>
      <c r="C14" s="4">
        <f>3*SIN(0.5*B14)-0.5*B14+2</f>
        <v>-0.1065617807394954</v>
      </c>
      <c r="D14" s="4">
        <f>1.5*COS(0.5*B14)-0.5</f>
        <v>-1.9492094998702132</v>
      </c>
      <c r="F14" s="4">
        <f>F13+1</f>
        <v>1</v>
      </c>
      <c r="G14" s="4">
        <f t="shared" ref="G14:G21" si="0">3*SIN(0.5*F14)-0.5*F14+2</f>
        <v>2.938276615812609</v>
      </c>
    </row>
    <row r="15" spans="1:8" x14ac:dyDescent="0.25">
      <c r="A15" s="4">
        <f t="shared" ref="A15:A16" si="1">A14+1</f>
        <v>2</v>
      </c>
      <c r="B15" s="4">
        <f t="shared" ref="B15:B16" si="2">B14-C14/D14</f>
        <v>5.7065722890385038</v>
      </c>
      <c r="C15" s="4">
        <f t="shared" ref="C15:C16" si="3">3*SIN(0.5*B15)-0.5*B15+2</f>
        <v>-2.9902894015521042E-4</v>
      </c>
      <c r="D15" s="4">
        <f t="shared" ref="D15:D16" si="4">1.5*COS(0.5*B15)-0.5</f>
        <v>-1.9380901380525537</v>
      </c>
      <c r="F15" s="4">
        <f t="shared" ref="F15:F21" si="5">F14+1</f>
        <v>2</v>
      </c>
      <c r="G15" s="4">
        <f t="shared" si="0"/>
        <v>3.5244129544236893</v>
      </c>
    </row>
    <row r="16" spans="1:8" x14ac:dyDescent="0.25">
      <c r="A16" s="7">
        <f t="shared" si="1"/>
        <v>3</v>
      </c>
      <c r="B16" s="7">
        <f t="shared" si="2"/>
        <v>5.7064179985159509</v>
      </c>
      <c r="C16" s="7">
        <f t="shared" si="3"/>
        <v>-2.5384503388181656E-9</v>
      </c>
      <c r="D16" s="7">
        <f t="shared" si="4"/>
        <v>-1.9380572318163194</v>
      </c>
      <c r="F16" s="4">
        <f t="shared" si="5"/>
        <v>3</v>
      </c>
      <c r="G16" s="4">
        <f t="shared" si="0"/>
        <v>3.4924849598121632</v>
      </c>
    </row>
    <row r="17" spans="6:7" x14ac:dyDescent="0.25">
      <c r="F17" s="4">
        <f t="shared" si="5"/>
        <v>4</v>
      </c>
      <c r="G17" s="4">
        <f t="shared" si="0"/>
        <v>2.7278922804770449</v>
      </c>
    </row>
    <row r="18" spans="6:7" x14ac:dyDescent="0.25">
      <c r="F18" s="4">
        <f t="shared" si="5"/>
        <v>5</v>
      </c>
      <c r="G18" s="4">
        <f t="shared" si="0"/>
        <v>1.2954164323118698</v>
      </c>
    </row>
    <row r="19" spans="6:7" x14ac:dyDescent="0.25">
      <c r="F19" s="4">
        <f t="shared" si="5"/>
        <v>6</v>
      </c>
      <c r="G19" s="4">
        <f t="shared" si="0"/>
        <v>-0.57663997582039839</v>
      </c>
    </row>
    <row r="20" spans="6:7" x14ac:dyDescent="0.25">
      <c r="F20" s="4">
        <f t="shared" si="5"/>
        <v>7</v>
      </c>
      <c r="G20" s="4">
        <f t="shared" si="0"/>
        <v>-2.5523496830688597</v>
      </c>
    </row>
    <row r="21" spans="6:7" x14ac:dyDescent="0.25">
      <c r="F21" s="4">
        <f t="shared" si="5"/>
        <v>8</v>
      </c>
      <c r="G21" s="4">
        <f t="shared" si="0"/>
        <v>-4.2704074859237844</v>
      </c>
    </row>
  </sheetData>
  <mergeCells count="4">
    <mergeCell ref="A1:H1"/>
    <mergeCell ref="B3:H3"/>
    <mergeCell ref="B5:D5"/>
    <mergeCell ref="B6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Newton_Ej2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2025-11-30T16:09:39Z</dcterms:created>
  <dcterms:modified xsi:type="dcterms:W3CDTF">2025-11-30T19:19:43Z</dcterms:modified>
</cp:coreProperties>
</file>