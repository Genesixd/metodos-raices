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/>
  <mc:AlternateContent xmlns:mc="http://schemas.openxmlformats.org/markup-compatibility/2006">
    <mc:Choice Requires="x15">
      <x15ac:absPath xmlns:x15ac="http://schemas.microsoft.com/office/spreadsheetml/2010/11/ac" url="C:\Users\COMPU\Desktop\U\METODOS NUMERICOS\PROYECTO RAICES\"/>
    </mc:Choice>
  </mc:AlternateContent>
  <xr:revisionPtr revIDLastSave="0" documentId="8_{6A54ABBF-4C89-4236-93E5-E30E28EDC6BC}" xr6:coauthVersionLast="47" xr6:coauthVersionMax="47" xr10:uidLastSave="{00000000-0000-0000-0000-000000000000}"/>
  <bookViews>
    <workbookView xWindow="14400" yWindow="0" windowWidth="14400" windowHeight="15750" xr2:uid="{00000000-000D-0000-FFFF-FFFF00000000}"/>
  </bookViews>
  <sheets>
    <sheet name="Newton_Ej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0" i="1" l="1"/>
  <c r="B21" i="1"/>
  <c r="B22" i="1"/>
  <c r="B23" i="1"/>
  <c r="B24" i="1"/>
  <c r="B25" i="1"/>
  <c r="B19" i="1"/>
  <c r="A15" i="1"/>
  <c r="A16" i="1" s="1"/>
  <c r="B15" i="1"/>
  <c r="D14" i="1"/>
  <c r="C14" i="1"/>
  <c r="B14" i="1"/>
  <c r="A14" i="1"/>
  <c r="D13" i="1"/>
  <c r="C13" i="1"/>
  <c r="B13" i="1"/>
  <c r="A13" i="1"/>
  <c r="D15" i="1" l="1"/>
  <c r="C15" i="1"/>
  <c r="B16" i="1" s="1"/>
  <c r="C16" i="1" l="1"/>
  <c r="D16" i="1"/>
</calcChain>
</file>

<file path=xl/sharedStrings.xml><?xml version="1.0" encoding="utf-8"?>
<sst xmlns="http://schemas.openxmlformats.org/spreadsheetml/2006/main" count="19" uniqueCount="19">
  <si>
    <t>RAÍCES → MÉTODO DE NEWTON - RAPHSON</t>
  </si>
  <si>
    <t>Ejercicio 4:</t>
  </si>
  <si>
    <t>Determinar las raíces positivas de la ecuación cos^2(x) – 0,5 x·e^{0,3x} + 5 = 0.</t>
  </si>
  <si>
    <t>Función:</t>
  </si>
  <si>
    <t>f(x) = cos^2(x) – 0,5 x·e^{0,3x} + 5</t>
  </si>
  <si>
    <t>Derivada:</t>
  </si>
  <si>
    <t>f'(x) = -sen(2x) – e^{0,3x}(0,5 + 0,15x)</t>
  </si>
  <si>
    <t>| f(x_i) | ≤ tol</t>
  </si>
  <si>
    <t>tol = 0.00005</t>
  </si>
  <si>
    <t>#</t>
  </si>
  <si>
    <t>x_i</t>
  </si>
  <si>
    <t>f(x_i)</t>
  </si>
  <si>
    <t>f'(x_i)</t>
  </si>
  <si>
    <t>tol</t>
  </si>
  <si>
    <t>0,00005</t>
  </si>
  <si>
    <t>Fórmula del método de Newton - Raphson:</t>
  </si>
  <si>
    <t>x_{i+1} = x_i − f(x_i) / f'(x_i)</t>
  </si>
  <si>
    <t>x</t>
  </si>
  <si>
    <t>f(x)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</si>
</sst>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C6E0B4"/>
      </patternFill>
    </fill>
    <fill>
      <patternFill patternType="solid">
        <fgColor rgb="FFFFD966"/>
      </patternFill>
    </fill>
    <fill>
      <patternFill patternType="solid">
        <fgColor theme="6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0" fillId="2" borderId="1" xfId="0" applyFill="1" applyBorder="1"/>
    <xf numFmtId="0" fontId="2" fillId="3" borderId="1" xfId="0" applyFont="1" applyFill="1" applyBorder="1" applyAlignment="1">
      <alignment horizontal="center"/>
    </xf>
    <xf numFmtId="0" fontId="0" fillId="0" borderId="1" xfId="0" applyBorder="1"/>
    <xf numFmtId="0" fontId="1" fillId="0" borderId="0" xfId="0" applyFont="1"/>
    <xf numFmtId="0" fontId="0" fillId="0" borderId="0" xfId="0"/>
    <xf numFmtId="0" fontId="0" fillId="4" borderId="1" xfId="0" applyFill="1" applyBorder="1"/>
    <xf numFmtId="0" fontId="0" fillId="0" borderId="0" xfId="0" applyFill="1"/>
    <xf numFmtId="0" fontId="0" fillId="0" borderId="2" xfId="0" applyBorder="1"/>
    <xf numFmtId="0" fontId="0" fillId="0" borderId="2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BO" sz="1400" b="0" i="0" u="none" strike="noStrike" baseline="0"/>
              <a:t>Gráfica de f(x)</a:t>
            </a:r>
            <a:endParaRPr lang="es-B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Newton_Ej4!$B$18</c:f>
              <c:strCache>
                <c:ptCount val="1"/>
                <c:pt idx="0">
                  <c:v>f(x)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Newton_Ej4!$A$19:$A$25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</c:numCache>
            </c:numRef>
          </c:xVal>
          <c:yVal>
            <c:numRef>
              <c:f>Newton_Ej4!$B$19:$B$25</c:f>
              <c:numCache>
                <c:formatCode>General</c:formatCode>
                <c:ptCount val="7"/>
                <c:pt idx="0">
                  <c:v>6</c:v>
                </c:pt>
                <c:pt idx="1">
                  <c:v>4.6169971779384271</c:v>
                </c:pt>
                <c:pt idx="2">
                  <c:v>3.351059389177685</c:v>
                </c:pt>
                <c:pt idx="3">
                  <c:v>2.2906804765897588</c:v>
                </c:pt>
                <c:pt idx="4">
                  <c:v>-1.212983862377401</c:v>
                </c:pt>
                <c:pt idx="5">
                  <c:v>-6.1237584403833871</c:v>
                </c:pt>
                <c:pt idx="6">
                  <c:v>-12.227015413872586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FE1-4976-A2E6-91C078FD3297}"/>
            </c:ext>
          </c:extLst>
        </c:ser>
        <c:ser>
          <c:idx val="1"/>
          <c:order val="1"/>
          <c:tx>
            <c:v>raiz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Newton_Ej4!$B$16</c:f>
              <c:numCache>
                <c:formatCode>General</c:formatCode>
                <c:ptCount val="1"/>
                <c:pt idx="0">
                  <c:v>3.7256021786531734</c:v>
                </c:pt>
              </c:numCache>
            </c:numRef>
          </c:xVal>
          <c:yVal>
            <c:numRef>
              <c:f>Newton_Ej4!$C$16</c:f>
              <c:numCache>
                <c:formatCode>General</c:formatCode>
                <c:ptCount val="1"/>
                <c:pt idx="0">
                  <c:v>-9.0657943374594652E-9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FE1-4976-A2E6-91C078FD32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281471"/>
        <c:axId val="159230799"/>
      </c:scatterChart>
      <c:valAx>
        <c:axId val="432814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BO"/>
                  <a:t>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59230799"/>
        <c:crosses val="autoZero"/>
        <c:crossBetween val="midCat"/>
      </c:valAx>
      <c:valAx>
        <c:axId val="159230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BO" sz="1000" b="0" i="0" u="none" strike="noStrike" baseline="0"/>
                  <a:t>f(x)</a:t>
                </a:r>
                <a:endParaRPr lang="es-BO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432814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47625</xdr:colOff>
      <xdr:row>17</xdr:row>
      <xdr:rowOff>23812</xdr:rowOff>
    </xdr:from>
    <xdr:to>
      <xdr:col>8</xdr:col>
      <xdr:colOff>200025</xdr:colOff>
      <xdr:row>31</xdr:row>
      <xdr:rowOff>100012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518C9A7-004D-515C-BF78-57F92E579B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tabSelected="1" topLeftCell="A4" workbookViewId="0">
      <selection activeCell="C22" sqref="C22"/>
    </sheetView>
  </sheetViews>
  <sheetFormatPr baseColWidth="10" defaultColWidth="9.140625" defaultRowHeight="15" x14ac:dyDescent="0.25"/>
  <cols>
    <col min="1" max="6" width="16" customWidth="1"/>
  </cols>
  <sheetData>
    <row r="1" spans="1:6" ht="18.75" x14ac:dyDescent="0.3">
      <c r="A1" s="6" t="s">
        <v>0</v>
      </c>
      <c r="B1" s="7"/>
      <c r="C1" s="7"/>
      <c r="D1" s="7"/>
      <c r="E1" s="7"/>
      <c r="F1" s="7"/>
    </row>
    <row r="3" spans="1:6" x14ac:dyDescent="0.25">
      <c r="A3" s="1" t="s">
        <v>1</v>
      </c>
      <c r="B3" s="7" t="s">
        <v>2</v>
      </c>
      <c r="C3" s="7"/>
      <c r="D3" s="7"/>
      <c r="E3" s="7"/>
      <c r="F3" s="7"/>
    </row>
    <row r="5" spans="1:6" x14ac:dyDescent="0.25">
      <c r="A5" s="1" t="s">
        <v>3</v>
      </c>
      <c r="B5" s="7" t="s">
        <v>4</v>
      </c>
      <c r="C5" s="7"/>
      <c r="D5" s="7"/>
      <c r="E5" s="7"/>
      <c r="F5" s="7"/>
    </row>
    <row r="6" spans="1:6" x14ac:dyDescent="0.25">
      <c r="A6" s="1" t="s">
        <v>5</v>
      </c>
      <c r="B6" s="7" t="s">
        <v>6</v>
      </c>
      <c r="C6" s="7"/>
      <c r="D6" s="7"/>
      <c r="E6" s="7"/>
      <c r="F6" s="7"/>
    </row>
    <row r="8" spans="1:6" x14ac:dyDescent="0.25">
      <c r="D8" s="2" t="s">
        <v>7</v>
      </c>
      <c r="E8" s="3" t="s">
        <v>8</v>
      </c>
    </row>
    <row r="12" spans="1:6" x14ac:dyDescent="0.25">
      <c r="A12" s="4" t="s">
        <v>9</v>
      </c>
      <c r="B12" s="4" t="s">
        <v>10</v>
      </c>
      <c r="C12" s="4" t="s">
        <v>11</v>
      </c>
      <c r="D12" s="4" t="s">
        <v>12</v>
      </c>
      <c r="E12" s="4" t="s">
        <v>13</v>
      </c>
    </row>
    <row r="13" spans="1:6" x14ac:dyDescent="0.25">
      <c r="A13" s="5">
        <f>0</f>
        <v>0</v>
      </c>
      <c r="B13" s="5">
        <f>3.5</f>
        <v>3.5</v>
      </c>
      <c r="C13" s="5">
        <f>COS(B13)^2-0.5*B13*EXP(0.3*B13)+5</f>
        <v>0.87606167056111595</v>
      </c>
      <c r="D13" s="5">
        <f>-SIN(2*B13)-EXP(0.3*B13)*(0.5+0.15*B13)</f>
        <v>-3.5860789947335316</v>
      </c>
      <c r="E13" s="5" t="s">
        <v>14</v>
      </c>
    </row>
    <row r="14" spans="1:6" x14ac:dyDescent="0.25">
      <c r="A14" s="5">
        <f>A13+1</f>
        <v>1</v>
      </c>
      <c r="B14" s="5">
        <f>B13-C13/D13</f>
        <v>3.7442951401370936</v>
      </c>
      <c r="C14" s="5">
        <f>COS(B14)^2-0.5*B14*EXP(0.3*B14)+5</f>
        <v>-7.8102181147251315E-2</v>
      </c>
      <c r="D14" s="5">
        <f>-SIN(2*B14)-EXP(0.3*B14)*(0.5+0.15*B14)</f>
        <v>-4.1984867244486175</v>
      </c>
    </row>
    <row r="15" spans="1:6" x14ac:dyDescent="0.25">
      <c r="A15" s="5">
        <f t="shared" ref="A15:A16" si="0">A14+1</f>
        <v>2</v>
      </c>
      <c r="B15" s="5">
        <f t="shared" ref="B15:B16" si="1">B14-C14/D14</f>
        <v>3.7256926801858814</v>
      </c>
      <c r="C15" s="5">
        <f t="shared" ref="C15:C16" si="2">COS(B15)^2-0.5*B15*EXP(0.3*B15)+5</f>
        <v>-3.7629175216125077E-4</v>
      </c>
      <c r="D15" s="5">
        <f t="shared" ref="D15:D16" si="3">-SIN(2*B15)-EXP(0.3*B15)*(0.5+0.15*B15)</f>
        <v>-4.1578494960558432</v>
      </c>
    </row>
    <row r="16" spans="1:6" x14ac:dyDescent="0.25">
      <c r="A16" s="8">
        <f t="shared" si="0"/>
        <v>3</v>
      </c>
      <c r="B16" s="8">
        <f t="shared" si="1"/>
        <v>3.7256021786531734</v>
      </c>
      <c r="C16" s="8">
        <f t="shared" si="2"/>
        <v>-9.0657943374594652E-9</v>
      </c>
      <c r="D16" s="8">
        <f t="shared" si="3"/>
        <v>-4.1576491461214049</v>
      </c>
      <c r="E16" s="9"/>
    </row>
    <row r="18" spans="1:2" x14ac:dyDescent="0.25">
      <c r="A18" s="11" t="s">
        <v>17</v>
      </c>
      <c r="B18" s="11" t="s">
        <v>18</v>
      </c>
    </row>
    <row r="19" spans="1:2" x14ac:dyDescent="0.25">
      <c r="A19" s="10">
        <v>0</v>
      </c>
      <c r="B19" s="10">
        <f>COS(A19)^2-0.5*A19*EXP(0.3*A19)+5</f>
        <v>6</v>
      </c>
    </row>
    <row r="20" spans="1:2" x14ac:dyDescent="0.25">
      <c r="A20" s="10">
        <v>1</v>
      </c>
      <c r="B20" s="10">
        <f t="shared" ref="B20:B26" si="4">COS(A20)^2-0.5*A20*EXP(0.3*A20)+5</f>
        <v>4.6169971779384271</v>
      </c>
    </row>
    <row r="21" spans="1:2" x14ac:dyDescent="0.25">
      <c r="A21" s="10">
        <v>2</v>
      </c>
      <c r="B21" s="10">
        <f t="shared" si="4"/>
        <v>3.351059389177685</v>
      </c>
    </row>
    <row r="22" spans="1:2" x14ac:dyDescent="0.25">
      <c r="A22" s="10">
        <v>3</v>
      </c>
      <c r="B22" s="10">
        <f t="shared" si="4"/>
        <v>2.2906804765897588</v>
      </c>
    </row>
    <row r="23" spans="1:2" x14ac:dyDescent="0.25">
      <c r="A23" s="10">
        <v>4</v>
      </c>
      <c r="B23" s="10">
        <f t="shared" si="4"/>
        <v>-1.212983862377401</v>
      </c>
    </row>
    <row r="24" spans="1:2" x14ac:dyDescent="0.25">
      <c r="A24" s="10">
        <v>5</v>
      </c>
      <c r="B24" s="10">
        <f t="shared" si="4"/>
        <v>-6.1237584403833871</v>
      </c>
    </row>
    <row r="25" spans="1:2" x14ac:dyDescent="0.25">
      <c r="A25" s="10">
        <v>6</v>
      </c>
      <c r="B25" s="10">
        <f t="shared" si="4"/>
        <v>-12.227015413872586</v>
      </c>
    </row>
    <row r="33" spans="1:6" x14ac:dyDescent="0.25">
      <c r="A33" s="1" t="s">
        <v>15</v>
      </c>
    </row>
    <row r="34" spans="1:6" x14ac:dyDescent="0.25">
      <c r="A34" s="7" t="s">
        <v>16</v>
      </c>
      <c r="B34" s="7"/>
      <c r="C34" s="7"/>
      <c r="D34" s="7"/>
      <c r="E34" s="7"/>
      <c r="F34" s="7"/>
    </row>
  </sheetData>
  <mergeCells count="5">
    <mergeCell ref="A1:F1"/>
    <mergeCell ref="B3:F3"/>
    <mergeCell ref="B5:F5"/>
    <mergeCell ref="B6:F6"/>
    <mergeCell ref="A34:F34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Newton_Ej4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Genesis Jalid Tapia Cortez</cp:lastModifiedBy>
  <dcterms:created xsi:type="dcterms:W3CDTF">2025-11-30T20:00:15Z</dcterms:created>
  <dcterms:modified xsi:type="dcterms:W3CDTF">2025-11-30T22:18:54Z</dcterms:modified>
</cp:coreProperties>
</file>