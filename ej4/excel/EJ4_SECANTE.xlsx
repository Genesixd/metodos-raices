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Users\COMPU\Desktop\U\METODOS NUMERICOS\PROYECTO RAICES\"/>
    </mc:Choice>
  </mc:AlternateContent>
  <xr:revisionPtr revIDLastSave="0" documentId="8_{76E873BA-5E68-47FD-909E-B82CAE5DDB13}" xr6:coauthVersionLast="47" xr6:coauthVersionMax="47" xr10:uidLastSave="{00000000-0000-0000-0000-000000000000}"/>
  <bookViews>
    <workbookView xWindow="14400" yWindow="0" windowWidth="14400" windowHeight="15750" xr2:uid="{00000000-000D-0000-FFFF-FFFF00000000}"/>
  </bookViews>
  <sheets>
    <sheet name="Secante_Ej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6" i="1" l="1"/>
  <c r="B26" i="1"/>
  <c r="C26" i="1" s="1"/>
  <c r="A27" i="1"/>
  <c r="A28" i="1" s="1"/>
  <c r="C25" i="1"/>
  <c r="B25" i="1"/>
  <c r="A25" i="1"/>
  <c r="A24" i="1"/>
  <c r="C24" i="1"/>
  <c r="B24" i="1"/>
  <c r="C23" i="1"/>
  <c r="B23" i="1"/>
  <c r="A23" i="1"/>
  <c r="B12" i="1"/>
  <c r="B13" i="1"/>
  <c r="B14" i="1"/>
  <c r="B15" i="1"/>
  <c r="B16" i="1"/>
  <c r="B17" i="1"/>
  <c r="B11" i="1"/>
  <c r="A13" i="1"/>
  <c r="A14" i="1"/>
  <c r="A15" i="1" s="1"/>
  <c r="A16" i="1" s="1"/>
  <c r="A17" i="1" s="1"/>
  <c r="A12" i="1"/>
  <c r="A11" i="1"/>
  <c r="B27" i="1" l="1"/>
  <c r="C27" i="1" l="1"/>
  <c r="B28" i="1"/>
  <c r="C28" i="1" s="1"/>
</calcChain>
</file>

<file path=xl/sharedStrings.xml><?xml version="1.0" encoding="utf-8"?>
<sst xmlns="http://schemas.openxmlformats.org/spreadsheetml/2006/main" count="19" uniqueCount="19">
  <si>
    <t>RAÍCES → MÉTODO DE LA SECANTE</t>
  </si>
  <si>
    <t>Ejercicio 4:</t>
  </si>
  <si>
    <t>Determinar las raíces positivas de la ecuación cos^2(x) – 0,5 x·e^{0,3x} + 5 = 0.</t>
  </si>
  <si>
    <t>Función para el método:</t>
  </si>
  <si>
    <t>f(x) = cos^2(x) – 0,5 x·e^{0,3x} + 5</t>
  </si>
  <si>
    <t>Tabla de exploración (para la gráfica)</t>
  </si>
  <si>
    <t>x</t>
  </si>
  <si>
    <t>f(x)</t>
  </si>
  <si>
    <t>El cambio de signo entre 3 y 4 indica una raíz positiva.</t>
  </si>
  <si>
    <t>Tolerancia (crit):</t>
  </si>
  <si>
    <t>tol = 0.00005</t>
  </si>
  <si>
    <t>Condición:</t>
  </si>
  <si>
    <t>|f(x_i)| ≤ tol</t>
  </si>
  <si>
    <t>Raíz (intervalo 3–4)</t>
  </si>
  <si>
    <t>#</t>
  </si>
  <si>
    <t>x_i</t>
  </si>
  <si>
    <t>f(x_i)</t>
  </si>
  <si>
    <t>Fórmula del método de la secante:</t>
  </si>
  <si>
    <t>x_{i+1} = x_i − f(x_i)(x_{i−1} − x_i) / ( f(x_{i−1}) − f(x_i)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</si>
</sst>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i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D966"/>
      </patternFill>
    </fill>
    <fill>
      <patternFill patternType="solid">
        <fgColor rgb="FFC6E0B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0" fillId="0" borderId="1" xfId="0" applyBorder="1"/>
    <xf numFmtId="0" fontId="0" fillId="3" borderId="1" xfId="0" applyFill="1" applyBorder="1"/>
    <xf numFmtId="0" fontId="1" fillId="0" borderId="0" xfId="0" applyFont="1"/>
    <xf numFmtId="0" fontId="0" fillId="0" borderId="0" xfId="0"/>
    <xf numFmtId="0" fontId="2" fillId="0" borderId="0" xfId="0" applyFont="1"/>
    <xf numFmtId="0" fontId="3" fillId="0" borderId="0" xfId="0" applyFont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 sz="1400" b="0" i="0" u="none" strike="noStrike" baseline="0"/>
              <a:t>Gráfica de la función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Secante_Ej4!$B$10</c:f>
              <c:strCache>
                <c:ptCount val="1"/>
                <c:pt idx="0">
                  <c:v>f(x)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Secante_Ej4!$A$11:$A$17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xVal>
          <c:yVal>
            <c:numRef>
              <c:f>Secante_Ej4!$B$11:$B$17</c:f>
              <c:numCache>
                <c:formatCode>General</c:formatCode>
                <c:ptCount val="7"/>
                <c:pt idx="0">
                  <c:v>6</c:v>
                </c:pt>
                <c:pt idx="1">
                  <c:v>4.6169971779384271</c:v>
                </c:pt>
                <c:pt idx="2">
                  <c:v>3.351059389177685</c:v>
                </c:pt>
                <c:pt idx="3">
                  <c:v>2.2906804765897588</c:v>
                </c:pt>
                <c:pt idx="4">
                  <c:v>-1.212983862377401</c:v>
                </c:pt>
                <c:pt idx="5">
                  <c:v>-6.1237584403833871</c:v>
                </c:pt>
                <c:pt idx="6">
                  <c:v>-12.227015413872586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A9E-4C72-957B-E61BFE6A2AE8}"/>
            </c:ext>
          </c:extLst>
        </c:ser>
        <c:ser>
          <c:idx val="1"/>
          <c:order val="1"/>
          <c:tx>
            <c:v>raiz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Secante_Ej4!$B$28</c:f>
              <c:numCache>
                <c:formatCode>General</c:formatCode>
                <c:ptCount val="1"/>
                <c:pt idx="0">
                  <c:v>3.7256020664136131</c:v>
                </c:pt>
              </c:numCache>
            </c:numRef>
          </c:xVal>
          <c:yVal>
            <c:numRef>
              <c:f>Secante_Ej4!$C$28</c:f>
              <c:numCache>
                <c:formatCode>General</c:formatCode>
                <c:ptCount val="1"/>
                <c:pt idx="0">
                  <c:v>4.5758690347952324E-7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A9E-4C72-957B-E61BFE6A2A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8134607"/>
        <c:axId val="813639567"/>
      </c:scatterChart>
      <c:valAx>
        <c:axId val="8881346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BO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813639567"/>
        <c:crosses val="autoZero"/>
        <c:crossBetween val="midCat"/>
      </c:valAx>
      <c:valAx>
        <c:axId val="813639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BO"/>
                  <a:t>f(n)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8881346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733425</xdr:colOff>
      <xdr:row>15</xdr:row>
      <xdr:rowOff>61912</xdr:rowOff>
    </xdr:from>
    <xdr:to>
      <xdr:col>9</xdr:col>
      <xdr:colOff>276225</xdr:colOff>
      <xdr:row>29</xdr:row>
      <xdr:rowOff>138112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1AC211A-96E4-F58B-1DD1-B47298AFA7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workbookViewId="0">
      <selection activeCell="I10" sqref="I10"/>
    </sheetView>
  </sheetViews>
  <sheetFormatPr baseColWidth="10" defaultColWidth="9.140625" defaultRowHeight="15" x14ac:dyDescent="0.25"/>
  <cols>
    <col min="1" max="6" width="16" customWidth="1"/>
  </cols>
  <sheetData>
    <row r="1" spans="1:6" ht="18.75" x14ac:dyDescent="0.3">
      <c r="A1" s="5" t="s">
        <v>0</v>
      </c>
      <c r="B1" s="6"/>
      <c r="C1" s="6"/>
      <c r="D1" s="6"/>
      <c r="E1" s="6"/>
      <c r="F1" s="6"/>
    </row>
    <row r="3" spans="1:6" x14ac:dyDescent="0.25">
      <c r="A3" s="1" t="s">
        <v>1</v>
      </c>
      <c r="B3" s="6" t="s">
        <v>2</v>
      </c>
      <c r="C3" s="6"/>
      <c r="D3" s="6"/>
      <c r="E3" s="6"/>
      <c r="F3" s="6"/>
    </row>
    <row r="5" spans="1:6" x14ac:dyDescent="0.25">
      <c r="A5" s="1" t="s">
        <v>3</v>
      </c>
      <c r="B5" s="6" t="s">
        <v>4</v>
      </c>
      <c r="C5" s="6"/>
      <c r="D5" s="6"/>
      <c r="E5" s="6"/>
      <c r="F5" s="6"/>
    </row>
    <row r="8" spans="1:6" x14ac:dyDescent="0.25">
      <c r="A8" s="7" t="s">
        <v>5</v>
      </c>
      <c r="B8" s="6"/>
      <c r="C8" s="6"/>
    </row>
    <row r="10" spans="1:6" x14ac:dyDescent="0.25">
      <c r="A10" s="2" t="s">
        <v>6</v>
      </c>
      <c r="B10" s="2" t="s">
        <v>7</v>
      </c>
    </row>
    <row r="11" spans="1:6" x14ac:dyDescent="0.25">
      <c r="A11" s="3">
        <f>0</f>
        <v>0</v>
      </c>
      <c r="B11" s="3">
        <f>COS(A11)^2-0.5*A11*EXP(0.3*A11)+5</f>
        <v>6</v>
      </c>
      <c r="D11" s="8" t="s">
        <v>8</v>
      </c>
      <c r="E11" s="6"/>
      <c r="F11" s="6"/>
    </row>
    <row r="12" spans="1:6" x14ac:dyDescent="0.25">
      <c r="A12" s="3">
        <f>A11+1</f>
        <v>1</v>
      </c>
      <c r="B12" s="3">
        <f t="shared" ref="B12:B17" si="0">COS(A12)^2-0.5*A12*EXP(0.3*A12)+5</f>
        <v>4.6169971779384271</v>
      </c>
    </row>
    <row r="13" spans="1:6" x14ac:dyDescent="0.25">
      <c r="A13" s="3">
        <f t="shared" ref="A13:A17" si="1">A12+1</f>
        <v>2</v>
      </c>
      <c r="B13" s="3">
        <f t="shared" si="0"/>
        <v>3.351059389177685</v>
      </c>
      <c r="D13" t="s">
        <v>9</v>
      </c>
      <c r="E13" s="4" t="s">
        <v>10</v>
      </c>
    </row>
    <row r="14" spans="1:6" x14ac:dyDescent="0.25">
      <c r="A14" s="3">
        <f t="shared" si="1"/>
        <v>3</v>
      </c>
      <c r="B14" s="3">
        <f t="shared" si="0"/>
        <v>2.2906804765897588</v>
      </c>
      <c r="D14" t="s">
        <v>11</v>
      </c>
      <c r="E14" s="4" t="s">
        <v>12</v>
      </c>
    </row>
    <row r="15" spans="1:6" x14ac:dyDescent="0.25">
      <c r="A15" s="3">
        <f t="shared" si="1"/>
        <v>4</v>
      </c>
      <c r="B15" s="3">
        <f t="shared" si="0"/>
        <v>-1.212983862377401</v>
      </c>
    </row>
    <row r="16" spans="1:6" x14ac:dyDescent="0.25">
      <c r="A16" s="3">
        <f t="shared" si="1"/>
        <v>5</v>
      </c>
      <c r="B16" s="3">
        <f t="shared" si="0"/>
        <v>-6.1237584403833871</v>
      </c>
    </row>
    <row r="17" spans="1:6" x14ac:dyDescent="0.25">
      <c r="A17" s="3">
        <f t="shared" si="1"/>
        <v>6</v>
      </c>
      <c r="B17" s="3">
        <f t="shared" si="0"/>
        <v>-12.227015413872586</v>
      </c>
    </row>
    <row r="20" spans="1:6" x14ac:dyDescent="0.25">
      <c r="A20" s="1" t="s">
        <v>13</v>
      </c>
    </row>
    <row r="22" spans="1:6" x14ac:dyDescent="0.25">
      <c r="A22" s="2" t="s">
        <v>14</v>
      </c>
      <c r="B22" s="2" t="s">
        <v>15</v>
      </c>
      <c r="C22" s="2" t="s">
        <v>16</v>
      </c>
    </row>
    <row r="23" spans="1:6" x14ac:dyDescent="0.25">
      <c r="A23" s="3">
        <f>0</f>
        <v>0</v>
      </c>
      <c r="B23" s="3">
        <f>3</f>
        <v>3</v>
      </c>
      <c r="C23" s="3">
        <f>COS(B23)^2-0.5*B23*EXP(0.3*B23)+5</f>
        <v>2.2906804765897588</v>
      </c>
    </row>
    <row r="24" spans="1:6" x14ac:dyDescent="0.25">
      <c r="A24" s="3">
        <f>1</f>
        <v>1</v>
      </c>
      <c r="B24" s="3">
        <f>4</f>
        <v>4</v>
      </c>
      <c r="C24" s="3">
        <f>COS(B24)^2-0.5*B24*EXP(0.3*B24)+5</f>
        <v>-1.212983862377401</v>
      </c>
    </row>
    <row r="25" spans="1:6" x14ac:dyDescent="0.25">
      <c r="A25" s="3">
        <f>A24+1</f>
        <v>2</v>
      </c>
      <c r="B25" s="3">
        <f>B24-C24*(B23-B24)/(C23-C24)</f>
        <v>3.6537956422118407</v>
      </c>
      <c r="C25" s="3">
        <f>COS(B25)^2-0.5*B25*EXP(0.3*B25)+5</f>
        <v>0.29265006210311029</v>
      </c>
    </row>
    <row r="26" spans="1:6" x14ac:dyDescent="0.25">
      <c r="A26" s="3">
        <f t="shared" ref="A26:A28" si="2">A25+1</f>
        <v>3</v>
      </c>
      <c r="B26" s="3">
        <f t="shared" ref="B26:B28" si="3">B25-C25*(B24-B25)/(C24-C25)</f>
        <v>3.7210873823617776</v>
      </c>
      <c r="C26" s="3">
        <f t="shared" ref="C26:C28" si="4">COS(B26)^2-0.5*B26*EXP(0.3*B26)+5</f>
        <v>1.8748318639778994E-2</v>
      </c>
    </row>
    <row r="27" spans="1:6" x14ac:dyDescent="0.25">
      <c r="A27" s="3">
        <f t="shared" si="2"/>
        <v>4</v>
      </c>
      <c r="B27" s="3">
        <f t="shared" si="3"/>
        <v>3.7256934391550054</v>
      </c>
      <c r="C27" s="3">
        <f t="shared" si="4"/>
        <v>-3.794474321878738E-4</v>
      </c>
    </row>
    <row r="28" spans="1:6" x14ac:dyDescent="0.25">
      <c r="A28" s="9">
        <f t="shared" si="2"/>
        <v>5</v>
      </c>
      <c r="B28" s="9">
        <f t="shared" si="3"/>
        <v>3.7256020664136131</v>
      </c>
      <c r="C28" s="9">
        <f t="shared" si="4"/>
        <v>4.5758690347952324E-7</v>
      </c>
    </row>
    <row r="30" spans="1:6" x14ac:dyDescent="0.25">
      <c r="A30" s="1" t="s">
        <v>17</v>
      </c>
    </row>
    <row r="31" spans="1:6" x14ac:dyDescent="0.25">
      <c r="A31" s="6" t="s">
        <v>18</v>
      </c>
      <c r="B31" s="6"/>
      <c r="C31" s="6"/>
      <c r="D31" s="6"/>
      <c r="E31" s="6"/>
      <c r="F31" s="6"/>
    </row>
  </sheetData>
  <mergeCells count="6">
    <mergeCell ref="A31:F31"/>
    <mergeCell ref="A1:F1"/>
    <mergeCell ref="B3:F3"/>
    <mergeCell ref="B5:F5"/>
    <mergeCell ref="A8:C8"/>
    <mergeCell ref="D11:F1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Secante_Ej4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Genesis Jalid Tapia Cortez</cp:lastModifiedBy>
  <dcterms:created xsi:type="dcterms:W3CDTF">2025-11-30T20:00:15Z</dcterms:created>
  <dcterms:modified xsi:type="dcterms:W3CDTF">2025-11-30T21:17:59Z</dcterms:modified>
</cp:coreProperties>
</file>