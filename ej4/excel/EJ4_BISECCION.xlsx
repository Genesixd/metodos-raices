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8_{F7AF5FEF-E4AC-4042-B8CD-9582402D97F7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Biseccion_Ej4_corregi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" l="1"/>
  <c r="B38" i="1"/>
  <c r="D38" i="1" s="1"/>
  <c r="G38" i="1" s="1"/>
  <c r="C38" i="1"/>
  <c r="F38" i="1" s="1"/>
  <c r="A25" i="1"/>
  <c r="B25" i="1"/>
  <c r="E25" i="1" s="1"/>
  <c r="C25" i="1"/>
  <c r="D25" i="1"/>
  <c r="G25" i="1" s="1"/>
  <c r="F25" i="1"/>
  <c r="A26" i="1"/>
  <c r="A27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B14" i="1"/>
  <c r="B15" i="1"/>
  <c r="B16" i="1"/>
  <c r="B17" i="1"/>
  <c r="B18" i="1"/>
  <c r="B19" i="1"/>
  <c r="A15" i="1"/>
  <c r="A16" i="1"/>
  <c r="A17" i="1"/>
  <c r="A18" i="1"/>
  <c r="A19" i="1"/>
  <c r="B13" i="1"/>
  <c r="A14" i="1"/>
  <c r="A13" i="1"/>
  <c r="E38" i="1" l="1"/>
  <c r="C26" i="1"/>
  <c r="F26" i="1" s="1"/>
  <c r="B26" i="1"/>
  <c r="E26" i="1" l="1"/>
  <c r="D26" i="1"/>
  <c r="G26" i="1" s="1"/>
  <c r="C27" i="1"/>
  <c r="F27" i="1" s="1"/>
  <c r="B27" i="1" l="1"/>
  <c r="E27" i="1" l="1"/>
  <c r="D27" i="1"/>
  <c r="G27" i="1" s="1"/>
  <c r="C28" i="1" s="1"/>
  <c r="F28" i="1" s="1"/>
  <c r="B28" i="1" l="1"/>
  <c r="D28" i="1" l="1"/>
  <c r="G28" i="1" s="1"/>
  <c r="C29" i="1" s="1"/>
  <c r="F29" i="1" s="1"/>
  <c r="E28" i="1"/>
  <c r="B29" i="1" s="1"/>
  <c r="E29" i="1" l="1"/>
  <c r="D29" i="1"/>
  <c r="G29" i="1" s="1"/>
  <c r="C30" i="1" s="1"/>
  <c r="F30" i="1" s="1"/>
  <c r="B30" i="1" l="1"/>
  <c r="E30" i="1" l="1"/>
  <c r="D30" i="1"/>
  <c r="G30" i="1" s="1"/>
  <c r="C31" i="1" s="1"/>
  <c r="F31" i="1" s="1"/>
  <c r="B31" i="1" l="1"/>
  <c r="D31" i="1" l="1"/>
  <c r="G31" i="1" s="1"/>
  <c r="C32" i="1" s="1"/>
  <c r="F32" i="1" s="1"/>
  <c r="E31" i="1"/>
  <c r="B32" i="1" s="1"/>
  <c r="D32" i="1" l="1"/>
  <c r="G32" i="1" s="1"/>
  <c r="E32" i="1"/>
  <c r="B33" i="1" s="1"/>
  <c r="C33" i="1"/>
  <c r="F33" i="1" s="1"/>
  <c r="E33" i="1" l="1"/>
  <c r="B34" i="1" s="1"/>
  <c r="D33" i="1"/>
  <c r="G33" i="1" s="1"/>
  <c r="C34" i="1" s="1"/>
  <c r="F34" i="1" s="1"/>
  <c r="C35" i="1" l="1"/>
  <c r="F35" i="1" s="1"/>
  <c r="D34" i="1"/>
  <c r="G34" i="1" s="1"/>
  <c r="E34" i="1"/>
  <c r="B35" i="1" s="1"/>
  <c r="D35" i="1" l="1"/>
  <c r="G35" i="1" s="1"/>
  <c r="E35" i="1"/>
  <c r="B36" i="1" s="1"/>
  <c r="C36" i="1"/>
  <c r="F36" i="1" s="1"/>
  <c r="D36" i="1" l="1"/>
  <c r="G36" i="1" s="1"/>
  <c r="E36" i="1"/>
  <c r="B37" i="1" s="1"/>
  <c r="C37" i="1"/>
  <c r="F37" i="1" s="1"/>
  <c r="D37" i="1" l="1"/>
  <c r="G37" i="1" s="1"/>
  <c r="E37" i="1"/>
</calcChain>
</file>

<file path=xl/sharedStrings.xml><?xml version="1.0" encoding="utf-8"?>
<sst xmlns="http://schemas.openxmlformats.org/spreadsheetml/2006/main" count="23" uniqueCount="23">
  <si>
    <t>RAÍCES → MÉTODO DE BISECCIÓN</t>
  </si>
  <si>
    <t>Ejercicio 4:</t>
  </si>
  <si>
    <t>Determinar las raíces positivas de la ecuación cos^2(x) – 0,5 x·e^{0,3x} + 5 = 0.</t>
  </si>
  <si>
    <t>Función para el método:</t>
  </si>
  <si>
    <t>f(x) = cos^2(x) – 0,5 x·e^{0,3x} + 5</t>
  </si>
  <si>
    <t>tol = 0.00005</t>
  </si>
  <si>
    <t>Condición: |f(m)| ≤ tol</t>
  </si>
  <si>
    <t>Regla del método de bisección:</t>
  </si>
  <si>
    <t>Si f(a)*f(m) &lt; 0 → b = m_anterior</t>
  </si>
  <si>
    <t>Si f(b)*f(m) &lt; 0 → a = m_anterior</t>
  </si>
  <si>
    <t>x</t>
  </si>
  <si>
    <t>f(x)</t>
  </si>
  <si>
    <t>El cambio de signo entre 3 y 4 indica una única raíz positiva.</t>
  </si>
  <si>
    <t>Raíz en el intervalo [3, 4]</t>
  </si>
  <si>
    <t>#</t>
  </si>
  <si>
    <t>a</t>
  </si>
  <si>
    <t>b</t>
  </si>
  <si>
    <t>m</t>
  </si>
  <si>
    <t>f(a)</t>
  </si>
  <si>
    <t>f(b)</t>
  </si>
  <si>
    <t>f(m)</t>
  </si>
  <si>
    <t>Fórmula del método de bisección:</t>
  </si>
  <si>
    <t>m = (a + b)/2, luego se elige el nuevo intervalo [a, m] o [m, b] según el signo.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</si>
</sst>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D966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3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Gráfica de la función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Biseccion_Ej4_corregido!$B$12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Biseccion_Ej4_corregido!$A$13:$A$19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Biseccion_Ej4_corregido!$B$13:$B$19</c:f>
              <c:numCache>
                <c:formatCode>General</c:formatCode>
                <c:ptCount val="7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8-497C-B159-96E23C852B42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Biseccion_Ej4_corregido!$D$38</c:f>
              <c:numCache>
                <c:formatCode>General</c:formatCode>
                <c:ptCount val="1"/>
                <c:pt idx="0">
                  <c:v>3.7256011962890625</c:v>
                </c:pt>
              </c:numCache>
            </c:numRef>
          </c:xVal>
          <c:yVal>
            <c:numRef>
              <c:f>Biseccion_Ej4_corregido!$G$38</c:f>
              <c:numCache>
                <c:formatCode>General</c:formatCode>
                <c:ptCount val="1"/>
                <c:pt idx="0">
                  <c:v>4.0752584435921335E-6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8-497C-B159-96E23C85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984831"/>
        <c:axId val="877468047"/>
      </c:scatterChart>
      <c:valAx>
        <c:axId val="112098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x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77468047"/>
        <c:crosses val="autoZero"/>
        <c:crossBetween val="midCat"/>
      </c:valAx>
      <c:valAx>
        <c:axId val="8774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2098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6</xdr:row>
      <xdr:rowOff>61912</xdr:rowOff>
    </xdr:from>
    <xdr:to>
      <xdr:col>6</xdr:col>
      <xdr:colOff>971550</xdr:colOff>
      <xdr:row>20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148E2B-A815-4522-7EB8-2478CB81F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2" workbookViewId="0">
      <selection activeCell="J17" sqref="J17"/>
    </sheetView>
  </sheetViews>
  <sheetFormatPr baseColWidth="10" defaultColWidth="9.140625" defaultRowHeight="15" x14ac:dyDescent="0.25"/>
  <cols>
    <col min="1" max="7" width="16" customWidth="1"/>
  </cols>
  <sheetData>
    <row r="1" spans="1:7" ht="18.75" x14ac:dyDescent="0.3">
      <c r="A1" s="5" t="s">
        <v>0</v>
      </c>
      <c r="B1" s="6"/>
      <c r="C1" s="6"/>
      <c r="D1" s="6"/>
      <c r="E1" s="6"/>
      <c r="F1" s="6"/>
      <c r="G1" s="6"/>
    </row>
    <row r="3" spans="1:7" x14ac:dyDescent="0.25">
      <c r="A3" s="1" t="s">
        <v>1</v>
      </c>
      <c r="B3" s="6" t="s">
        <v>2</v>
      </c>
      <c r="C3" s="6"/>
      <c r="D3" s="6"/>
      <c r="E3" s="6"/>
      <c r="F3" s="6"/>
      <c r="G3" s="6"/>
    </row>
    <row r="5" spans="1:7" x14ac:dyDescent="0.25">
      <c r="A5" s="1" t="s">
        <v>3</v>
      </c>
      <c r="B5" s="6" t="s">
        <v>4</v>
      </c>
      <c r="C5" s="6"/>
      <c r="D5" s="6"/>
      <c r="E5" s="6"/>
      <c r="F5" s="2" t="s">
        <v>5</v>
      </c>
    </row>
    <row r="6" spans="1:7" x14ac:dyDescent="0.25">
      <c r="F6" s="2" t="s">
        <v>6</v>
      </c>
    </row>
    <row r="7" spans="1:7" x14ac:dyDescent="0.25">
      <c r="A7" s="1" t="s">
        <v>7</v>
      </c>
    </row>
    <row r="8" spans="1:7" x14ac:dyDescent="0.25">
      <c r="A8" t="s">
        <v>8</v>
      </c>
    </row>
    <row r="9" spans="1:7" x14ac:dyDescent="0.25">
      <c r="A9" t="s">
        <v>9</v>
      </c>
    </row>
    <row r="12" spans="1:7" x14ac:dyDescent="0.25">
      <c r="A12" s="3" t="s">
        <v>10</v>
      </c>
      <c r="B12" s="3" t="s">
        <v>11</v>
      </c>
    </row>
    <row r="13" spans="1:7" x14ac:dyDescent="0.25">
      <c r="A13" s="4">
        <f>0</f>
        <v>0</v>
      </c>
      <c r="B13" s="4">
        <f>COS(A13)^2-0.5*A13*EXP(0.3*A13)+5</f>
        <v>6</v>
      </c>
      <c r="D13" s="7" t="s">
        <v>12</v>
      </c>
      <c r="E13" s="6"/>
      <c r="F13" s="6"/>
      <c r="G13" s="6"/>
    </row>
    <row r="14" spans="1:7" x14ac:dyDescent="0.25">
      <c r="A14" s="4">
        <f>A13+1</f>
        <v>1</v>
      </c>
      <c r="B14" s="4">
        <f t="shared" ref="B14:B19" si="0">COS(A14)^2-0.5*A14*EXP(0.3*A14)+5</f>
        <v>4.6169971779384271</v>
      </c>
    </row>
    <row r="15" spans="1:7" x14ac:dyDescent="0.25">
      <c r="A15" s="4">
        <f t="shared" ref="A15:A19" si="1">A14+1</f>
        <v>2</v>
      </c>
      <c r="B15" s="4">
        <f t="shared" si="0"/>
        <v>3.351059389177685</v>
      </c>
    </row>
    <row r="16" spans="1:7" x14ac:dyDescent="0.25">
      <c r="A16" s="4">
        <f t="shared" si="1"/>
        <v>3</v>
      </c>
      <c r="B16" s="4">
        <f t="shared" si="0"/>
        <v>2.2906804765897588</v>
      </c>
    </row>
    <row r="17" spans="1:7" x14ac:dyDescent="0.25">
      <c r="A17" s="4">
        <f t="shared" si="1"/>
        <v>4</v>
      </c>
      <c r="B17" s="4">
        <f t="shared" si="0"/>
        <v>-1.212983862377401</v>
      </c>
    </row>
    <row r="18" spans="1:7" x14ac:dyDescent="0.25">
      <c r="A18" s="4">
        <f t="shared" si="1"/>
        <v>5</v>
      </c>
      <c r="B18" s="4">
        <f t="shared" si="0"/>
        <v>-6.1237584403833871</v>
      </c>
    </row>
    <row r="19" spans="1:7" x14ac:dyDescent="0.25">
      <c r="A19" s="4">
        <f t="shared" si="1"/>
        <v>6</v>
      </c>
      <c r="B19" s="4">
        <f t="shared" si="0"/>
        <v>-12.227015413872586</v>
      </c>
    </row>
    <row r="20" spans="1:7" x14ac:dyDescent="0.25">
      <c r="A20" s="1" t="s">
        <v>13</v>
      </c>
    </row>
    <row r="22" spans="1:7" x14ac:dyDescent="0.25">
      <c r="A22" s="3" t="s">
        <v>14</v>
      </c>
      <c r="B22" s="3" t="s">
        <v>15</v>
      </c>
      <c r="C22" s="3" t="s">
        <v>16</v>
      </c>
      <c r="D22" s="3" t="s">
        <v>17</v>
      </c>
      <c r="E22" s="3" t="s">
        <v>18</v>
      </c>
      <c r="F22" s="3" t="s">
        <v>19</v>
      </c>
      <c r="G22" s="3" t="s">
        <v>20</v>
      </c>
    </row>
    <row r="23" spans="1:7" x14ac:dyDescent="0.25">
      <c r="A23" s="4">
        <f>0</f>
        <v>0</v>
      </c>
      <c r="B23" s="4">
        <f>3</f>
        <v>3</v>
      </c>
      <c r="C23" s="4">
        <f>4</f>
        <v>4</v>
      </c>
      <c r="D23" s="4">
        <f>(B23+C23)/2</f>
        <v>3.5</v>
      </c>
      <c r="E23" s="4">
        <f>COS(B23)^2-0.5*B23*EXP(0.3*B23)+5</f>
        <v>2.2906804765897588</v>
      </c>
      <c r="F23" s="4">
        <f>COS(C23)^2-0.5*C23*EXP(0.3*C23)+5</f>
        <v>-1.212983862377401</v>
      </c>
      <c r="G23" s="4">
        <f>COS(D23)^2-0.5*D23*EXP(0.3*D23)+5</f>
        <v>0.87606167056111595</v>
      </c>
    </row>
    <row r="24" spans="1:7" x14ac:dyDescent="0.25">
      <c r="A24" s="4">
        <f>A23+1</f>
        <v>1</v>
      </c>
      <c r="B24" s="4">
        <f>IF(E23*G23&lt;0,B23,D23)</f>
        <v>3.5</v>
      </c>
      <c r="C24" s="4">
        <f>IF(F23*G23&lt;0,C23,D23)</f>
        <v>4</v>
      </c>
      <c r="D24" s="4">
        <f>(B24+C24)/2</f>
        <v>3.75</v>
      </c>
      <c r="E24" s="4">
        <f>COS(B24)^2-0.5*B24*EXP(0.3*B24)+5</f>
        <v>0.87606167056111595</v>
      </c>
      <c r="F24" s="4">
        <f>COS(C24)^2-0.5*C24*EXP(0.3*C24)+5</f>
        <v>-1.212983862377401</v>
      </c>
      <c r="G24" s="4">
        <f>COS(D24)^2-0.5*D24*EXP(0.3*D24)+5</f>
        <v>-0.10208893280379527</v>
      </c>
    </row>
    <row r="25" spans="1:7" x14ac:dyDescent="0.25">
      <c r="A25" s="4">
        <f t="shared" ref="A25:A37" si="2">A24+1</f>
        <v>2</v>
      </c>
      <c r="B25" s="4">
        <f t="shared" ref="B25:B37" si="3">IF(E24*G24&lt;0,B24,D24)</f>
        <v>3.5</v>
      </c>
      <c r="C25" s="4">
        <f t="shared" ref="C25:C37" si="4">IF(F24*G24&lt;0,C24,D24)</f>
        <v>3.75</v>
      </c>
      <c r="D25" s="4">
        <f t="shared" ref="D25:D37" si="5">(B25+C25)/2</f>
        <v>3.625</v>
      </c>
      <c r="E25" s="4">
        <f t="shared" ref="E25:E37" si="6">COS(B25)^2-0.5*B25*EXP(0.3*B25)+5</f>
        <v>0.87606167056111595</v>
      </c>
      <c r="F25" s="4">
        <f t="shared" ref="F25:F37" si="7">COS(C25)^2-0.5*C25*EXP(0.3*C25)+5</f>
        <v>-0.10208893280379527</v>
      </c>
      <c r="G25" s="4">
        <f t="shared" ref="G25:G37" si="8">COS(D25)^2-0.5*D25*EXP(0.3*D25)+5</f>
        <v>0.40655067707081294</v>
      </c>
    </row>
    <row r="26" spans="1:7" x14ac:dyDescent="0.25">
      <c r="A26" s="4">
        <f t="shared" si="2"/>
        <v>3</v>
      </c>
      <c r="B26" s="4">
        <f t="shared" si="3"/>
        <v>3.625</v>
      </c>
      <c r="C26" s="4">
        <f t="shared" si="4"/>
        <v>3.75</v>
      </c>
      <c r="D26" s="4">
        <f t="shared" si="5"/>
        <v>3.6875</v>
      </c>
      <c r="E26" s="4">
        <f t="shared" si="6"/>
        <v>0.40655067707081294</v>
      </c>
      <c r="F26" s="4">
        <f t="shared" si="7"/>
        <v>-0.10208893280379527</v>
      </c>
      <c r="G26" s="4">
        <f t="shared" si="8"/>
        <v>0.15677999132921183</v>
      </c>
    </row>
    <row r="27" spans="1:7" x14ac:dyDescent="0.25">
      <c r="A27" s="4">
        <f t="shared" si="2"/>
        <v>4</v>
      </c>
      <c r="B27" s="4">
        <f t="shared" si="3"/>
        <v>3.6875</v>
      </c>
      <c r="C27" s="4">
        <f t="shared" si="4"/>
        <v>3.75</v>
      </c>
      <c r="D27" s="4">
        <f t="shared" si="5"/>
        <v>3.71875</v>
      </c>
      <c r="E27" s="4">
        <f t="shared" si="6"/>
        <v>0.15677999132921183</v>
      </c>
      <c r="F27" s="4">
        <f t="shared" si="7"/>
        <v>-0.10208893280379527</v>
      </c>
      <c r="G27" s="4">
        <f t="shared" si="8"/>
        <v>2.8436804737782317E-2</v>
      </c>
    </row>
    <row r="28" spans="1:7" x14ac:dyDescent="0.25">
      <c r="A28" s="4">
        <f t="shared" si="2"/>
        <v>5</v>
      </c>
      <c r="B28" s="4">
        <f t="shared" si="3"/>
        <v>3.71875</v>
      </c>
      <c r="C28" s="4">
        <f t="shared" si="4"/>
        <v>3.75</v>
      </c>
      <c r="D28" s="4">
        <f t="shared" si="5"/>
        <v>3.734375</v>
      </c>
      <c r="E28" s="4">
        <f t="shared" si="6"/>
        <v>2.8436804737782317E-2</v>
      </c>
      <c r="F28" s="4">
        <f t="shared" si="7"/>
        <v>-0.10208893280379527</v>
      </c>
      <c r="G28" s="4">
        <f t="shared" si="8"/>
        <v>-3.6559165284978157E-2</v>
      </c>
    </row>
    <row r="29" spans="1:7" x14ac:dyDescent="0.25">
      <c r="A29" s="4">
        <f t="shared" si="2"/>
        <v>6</v>
      </c>
      <c r="B29" s="4">
        <f t="shared" si="3"/>
        <v>3.71875</v>
      </c>
      <c r="C29" s="4">
        <f t="shared" si="4"/>
        <v>3.734375</v>
      </c>
      <c r="D29" s="4">
        <f t="shared" si="5"/>
        <v>3.7265625</v>
      </c>
      <c r="E29" s="4">
        <f t="shared" si="6"/>
        <v>2.8436804737782317E-2</v>
      </c>
      <c r="F29" s="4">
        <f t="shared" si="7"/>
        <v>-3.6559165284978157E-2</v>
      </c>
      <c r="G29" s="4">
        <f t="shared" si="8"/>
        <v>-3.9937086888297557E-3</v>
      </c>
    </row>
    <row r="30" spans="1:7" x14ac:dyDescent="0.25">
      <c r="A30" s="4">
        <f t="shared" si="2"/>
        <v>7</v>
      </c>
      <c r="B30" s="4">
        <f t="shared" si="3"/>
        <v>3.71875</v>
      </c>
      <c r="C30" s="4">
        <f t="shared" si="4"/>
        <v>3.7265625</v>
      </c>
      <c r="D30" s="4">
        <f t="shared" si="5"/>
        <v>3.72265625</v>
      </c>
      <c r="E30" s="4">
        <f t="shared" si="6"/>
        <v>2.8436804737782317E-2</v>
      </c>
      <c r="F30" s="4">
        <f t="shared" si="7"/>
        <v>-3.9937086888297557E-3</v>
      </c>
      <c r="G30" s="4">
        <f t="shared" si="8"/>
        <v>1.2238508701804207E-2</v>
      </c>
    </row>
    <row r="31" spans="1:7" x14ac:dyDescent="0.25">
      <c r="A31" s="4">
        <f t="shared" si="2"/>
        <v>8</v>
      </c>
      <c r="B31" s="4">
        <f t="shared" si="3"/>
        <v>3.72265625</v>
      </c>
      <c r="C31" s="4">
        <f t="shared" si="4"/>
        <v>3.7265625</v>
      </c>
      <c r="D31" s="4">
        <f t="shared" si="5"/>
        <v>3.724609375</v>
      </c>
      <c r="E31" s="4">
        <f t="shared" si="6"/>
        <v>1.2238508701804207E-2</v>
      </c>
      <c r="F31" s="4">
        <f t="shared" si="7"/>
        <v>-3.9937086888297557E-3</v>
      </c>
      <c r="G31" s="4">
        <f t="shared" si="8"/>
        <v>4.1266286048040612E-3</v>
      </c>
    </row>
    <row r="32" spans="1:7" x14ac:dyDescent="0.25">
      <c r="A32" s="4">
        <f t="shared" si="2"/>
        <v>9</v>
      </c>
      <c r="B32" s="4">
        <f t="shared" si="3"/>
        <v>3.724609375</v>
      </c>
      <c r="C32" s="4">
        <f t="shared" si="4"/>
        <v>3.7265625</v>
      </c>
      <c r="D32" s="4">
        <f t="shared" si="5"/>
        <v>3.7255859375</v>
      </c>
      <c r="E32" s="4">
        <f t="shared" si="6"/>
        <v>4.1266286048040612E-3</v>
      </c>
      <c r="F32" s="4">
        <f t="shared" si="7"/>
        <v>-3.9937086888297557E-3</v>
      </c>
      <c r="G32" s="4">
        <f t="shared" si="8"/>
        <v>6.7515658837891124E-5</v>
      </c>
    </row>
    <row r="33" spans="1:7" x14ac:dyDescent="0.25">
      <c r="A33" s="4">
        <f t="shared" si="2"/>
        <v>10</v>
      </c>
      <c r="B33" s="4">
        <f t="shared" si="3"/>
        <v>3.7255859375</v>
      </c>
      <c r="C33" s="4">
        <f t="shared" si="4"/>
        <v>3.7265625</v>
      </c>
      <c r="D33" s="4">
        <f t="shared" si="5"/>
        <v>3.72607421875</v>
      </c>
      <c r="E33" s="4">
        <f t="shared" si="6"/>
        <v>6.7515658837891124E-5</v>
      </c>
      <c r="F33" s="4">
        <f t="shared" si="7"/>
        <v>-3.9937086888297557E-3</v>
      </c>
      <c r="G33" s="4">
        <f t="shared" si="8"/>
        <v>-1.9628327710181637E-3</v>
      </c>
    </row>
    <row r="34" spans="1:7" x14ac:dyDescent="0.25">
      <c r="A34" s="4">
        <f t="shared" si="2"/>
        <v>11</v>
      </c>
      <c r="B34" s="4">
        <f t="shared" si="3"/>
        <v>3.7255859375</v>
      </c>
      <c r="C34" s="4">
        <f t="shared" si="4"/>
        <v>3.72607421875</v>
      </c>
      <c r="D34" s="4">
        <f t="shared" si="5"/>
        <v>3.725830078125</v>
      </c>
      <c r="E34" s="4">
        <f t="shared" si="6"/>
        <v>6.7515658837891124E-5</v>
      </c>
      <c r="F34" s="4">
        <f t="shared" si="7"/>
        <v>-1.9628327710181637E-3</v>
      </c>
      <c r="G34" s="4">
        <f t="shared" si="8"/>
        <v>-9.47592597435154E-4</v>
      </c>
    </row>
    <row r="35" spans="1:7" x14ac:dyDescent="0.25">
      <c r="A35" s="4">
        <f t="shared" si="2"/>
        <v>12</v>
      </c>
      <c r="B35" s="4">
        <f t="shared" si="3"/>
        <v>3.7255859375</v>
      </c>
      <c r="C35" s="4">
        <f t="shared" si="4"/>
        <v>3.725830078125</v>
      </c>
      <c r="D35" s="4">
        <f t="shared" si="5"/>
        <v>3.7257080078125</v>
      </c>
      <c r="E35" s="4">
        <f t="shared" si="6"/>
        <v>6.7515658837891124E-5</v>
      </c>
      <c r="F35" s="4">
        <f t="shared" si="7"/>
        <v>-9.47592597435154E-4</v>
      </c>
      <c r="G35" s="4">
        <f t="shared" si="8"/>
        <v>-4.4002197680192978E-4</v>
      </c>
    </row>
    <row r="36" spans="1:7" x14ac:dyDescent="0.25">
      <c r="A36" s="4">
        <f t="shared" si="2"/>
        <v>13</v>
      </c>
      <c r="B36" s="4">
        <f t="shared" si="3"/>
        <v>3.7255859375</v>
      </c>
      <c r="C36" s="4">
        <f t="shared" si="4"/>
        <v>3.7257080078125</v>
      </c>
      <c r="D36" s="4">
        <f t="shared" si="5"/>
        <v>3.72564697265625</v>
      </c>
      <c r="E36" s="4">
        <f t="shared" si="6"/>
        <v>6.7515658837891124E-5</v>
      </c>
      <c r="F36" s="4">
        <f t="shared" si="7"/>
        <v>-4.4002197680192978E-4</v>
      </c>
      <c r="G36" s="4">
        <f t="shared" si="8"/>
        <v>-1.8624903550357175E-4</v>
      </c>
    </row>
    <row r="37" spans="1:7" x14ac:dyDescent="0.25">
      <c r="A37" s="4">
        <f t="shared" si="2"/>
        <v>14</v>
      </c>
      <c r="B37" s="4">
        <f t="shared" si="3"/>
        <v>3.7255859375</v>
      </c>
      <c r="C37" s="4">
        <f t="shared" si="4"/>
        <v>3.72564697265625</v>
      </c>
      <c r="D37" s="4">
        <f t="shared" si="5"/>
        <v>3.725616455078125</v>
      </c>
      <c r="E37" s="4">
        <f t="shared" si="6"/>
        <v>6.7515658837891124E-5</v>
      </c>
      <c r="F37" s="4">
        <f t="shared" si="7"/>
        <v>-1.8624903550357175E-4</v>
      </c>
      <c r="G37" s="4">
        <f t="shared" si="8"/>
        <v>-5.9365657417487228E-5</v>
      </c>
    </row>
    <row r="38" spans="1:7" x14ac:dyDescent="0.25">
      <c r="A38" s="8">
        <f t="shared" ref="A38" si="9">A37+1</f>
        <v>15</v>
      </c>
      <c r="B38" s="8">
        <f t="shared" ref="B38" si="10">IF(E37*G37&lt;0,B37,D37)</f>
        <v>3.7255859375</v>
      </c>
      <c r="C38" s="8">
        <f t="shared" ref="C38" si="11">IF(F37*G37&lt;0,C37,D37)</f>
        <v>3.725616455078125</v>
      </c>
      <c r="D38" s="8">
        <f t="shared" ref="D38" si="12">(B38+C38)/2</f>
        <v>3.7256011962890625</v>
      </c>
      <c r="E38" s="8">
        <f t="shared" ref="E38" si="13">COS(B38)^2-0.5*B38*EXP(0.3*B38)+5</f>
        <v>6.7515658837891124E-5</v>
      </c>
      <c r="F38" s="8">
        <f t="shared" ref="F38" si="14">COS(C38)^2-0.5*C38*EXP(0.3*C38)+5</f>
        <v>-5.9365657417487228E-5</v>
      </c>
      <c r="G38" s="8">
        <f t="shared" ref="G38" si="15">COS(D38)^2-0.5*D38*EXP(0.3*D38)+5</f>
        <v>4.0752584435921335E-6</v>
      </c>
    </row>
    <row r="41" spans="1:7" x14ac:dyDescent="0.25">
      <c r="A41" s="1" t="s">
        <v>21</v>
      </c>
    </row>
    <row r="42" spans="1:7" x14ac:dyDescent="0.25">
      <c r="A42" s="6" t="s">
        <v>22</v>
      </c>
      <c r="B42" s="6"/>
      <c r="C42" s="6"/>
      <c r="D42" s="6"/>
      <c r="E42" s="6"/>
      <c r="F42" s="6"/>
      <c r="G42" s="6"/>
    </row>
  </sheetData>
  <mergeCells count="5">
    <mergeCell ref="A1:G1"/>
    <mergeCell ref="B3:G3"/>
    <mergeCell ref="B5:E5"/>
    <mergeCell ref="D13:G13"/>
    <mergeCell ref="A42:G4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Biseccion_Ej4_corregido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2025-11-30T20:00:15Z</dcterms:created>
  <dcterms:modified xsi:type="dcterms:W3CDTF">2025-11-30T21:50:17Z</dcterms:modified>
</cp:coreProperties>
</file>