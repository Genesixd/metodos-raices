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COMPU\Desktop\U\METODOS NUMERICOS\PROYECTO RAICES\"/>
    </mc:Choice>
  </mc:AlternateContent>
  <xr:revisionPtr revIDLastSave="0" documentId="13_ncr:1_{77BE72A0-F957-4C13-8D0F-F992DF5C0E32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Biseccion_Ej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B19" i="1"/>
  <c r="D19" i="1"/>
  <c r="G19" i="1"/>
  <c r="B20" i="1" s="1"/>
  <c r="E19" i="1"/>
  <c r="C17" i="1"/>
  <c r="I31" i="1"/>
  <c r="J31" i="1"/>
  <c r="L31" i="1" s="1"/>
  <c r="O31" i="1" s="1"/>
  <c r="K31" i="1"/>
  <c r="N31" i="1" s="1"/>
  <c r="I21" i="1"/>
  <c r="J21" i="1"/>
  <c r="K21" i="1"/>
  <c r="L21" i="1" s="1"/>
  <c r="O21" i="1" s="1"/>
  <c r="M21" i="1"/>
  <c r="I22" i="1"/>
  <c r="I23" i="1"/>
  <c r="I24" i="1"/>
  <c r="I25" i="1" s="1"/>
  <c r="I26" i="1" s="1"/>
  <c r="I27" i="1" s="1"/>
  <c r="I28" i="1" s="1"/>
  <c r="I29" i="1" s="1"/>
  <c r="I30" i="1" s="1"/>
  <c r="O20" i="1"/>
  <c r="N20" i="1"/>
  <c r="M20" i="1"/>
  <c r="L20" i="1"/>
  <c r="K20" i="1"/>
  <c r="J20" i="1"/>
  <c r="I20" i="1"/>
  <c r="O19" i="1"/>
  <c r="N19" i="1"/>
  <c r="M19" i="1"/>
  <c r="L19" i="1"/>
  <c r="K19" i="1"/>
  <c r="J19" i="1"/>
  <c r="I19" i="1"/>
  <c r="A21" i="1"/>
  <c r="A22" i="1"/>
  <c r="A23" i="1" s="1"/>
  <c r="A24" i="1" s="1"/>
  <c r="A25" i="1" s="1"/>
  <c r="A26" i="1" s="1"/>
  <c r="A27" i="1" s="1"/>
  <c r="A28" i="1" s="1"/>
  <c r="A20" i="1"/>
  <c r="F19" i="1"/>
  <c r="C19" i="1"/>
  <c r="A19" i="1"/>
  <c r="B11" i="1"/>
  <c r="B12" i="1"/>
  <c r="B13" i="1"/>
  <c r="B14" i="1"/>
  <c r="B15" i="1"/>
  <c r="B16" i="1"/>
  <c r="B10" i="1"/>
  <c r="A12" i="1"/>
  <c r="A13" i="1"/>
  <c r="A14" i="1" s="1"/>
  <c r="A15" i="1" s="1"/>
  <c r="A16" i="1" s="1"/>
  <c r="A11" i="1"/>
  <c r="A10" i="1"/>
  <c r="E20" i="1" l="1"/>
  <c r="F20" i="1"/>
  <c r="M31" i="1"/>
  <c r="J22" i="1"/>
  <c r="K22" i="1"/>
  <c r="N22" i="1" s="1"/>
  <c r="N21" i="1"/>
  <c r="D20" i="1" l="1"/>
  <c r="G20" i="1" s="1"/>
  <c r="M22" i="1"/>
  <c r="L22" i="1"/>
  <c r="O22" i="1" s="1"/>
  <c r="B21" i="1" l="1"/>
  <c r="C21" i="1"/>
  <c r="F21" i="1" s="1"/>
  <c r="K23" i="1"/>
  <c r="N23" i="1" s="1"/>
  <c r="J23" i="1"/>
  <c r="E21" i="1" l="1"/>
  <c r="D21" i="1"/>
  <c r="G21" i="1" s="1"/>
  <c r="L23" i="1"/>
  <c r="O23" i="1" s="1"/>
  <c r="M23" i="1"/>
  <c r="B22" i="1" l="1"/>
  <c r="E22" i="1"/>
  <c r="C22" i="1"/>
  <c r="F22" i="1" s="1"/>
  <c r="J24" i="1"/>
  <c r="K24" i="1"/>
  <c r="N24" i="1" s="1"/>
  <c r="D22" i="1" l="1"/>
  <c r="G22" i="1" s="1"/>
  <c r="B23" i="1" s="1"/>
  <c r="L24" i="1"/>
  <c r="O24" i="1" s="1"/>
  <c r="M24" i="1"/>
  <c r="E23" i="1" l="1"/>
  <c r="C23" i="1"/>
  <c r="F23" i="1" s="1"/>
  <c r="J25" i="1"/>
  <c r="K25" i="1"/>
  <c r="N25" i="1" s="1"/>
  <c r="D23" i="1" l="1"/>
  <c r="G23" i="1" s="1"/>
  <c r="C24" i="1"/>
  <c r="F24" i="1" s="1"/>
  <c r="B24" i="1"/>
  <c r="M25" i="1"/>
  <c r="L25" i="1"/>
  <c r="O25" i="1" s="1"/>
  <c r="E24" i="1" l="1"/>
  <c r="D24" i="1"/>
  <c r="G24" i="1" s="1"/>
  <c r="K26" i="1"/>
  <c r="N26" i="1" s="1"/>
  <c r="J26" i="1"/>
  <c r="C25" i="1" l="1"/>
  <c r="F25" i="1" s="1"/>
  <c r="B25" i="1"/>
  <c r="L26" i="1"/>
  <c r="O26" i="1" s="1"/>
  <c r="M26" i="1"/>
  <c r="D25" i="1" l="1"/>
  <c r="G25" i="1" s="1"/>
  <c r="E25" i="1"/>
  <c r="K27" i="1"/>
  <c r="N27" i="1" s="1"/>
  <c r="J27" i="1"/>
  <c r="B26" i="1" l="1"/>
  <c r="C26" i="1"/>
  <c r="F26" i="1" s="1"/>
  <c r="L27" i="1"/>
  <c r="O27" i="1" s="1"/>
  <c r="M27" i="1"/>
  <c r="E26" i="1" l="1"/>
  <c r="D26" i="1"/>
  <c r="G26" i="1" s="1"/>
  <c r="J28" i="1"/>
  <c r="K28" i="1"/>
  <c r="N28" i="1" s="1"/>
  <c r="B27" i="1" l="1"/>
  <c r="C27" i="1"/>
  <c r="F27" i="1" s="1"/>
  <c r="L28" i="1"/>
  <c r="O28" i="1" s="1"/>
  <c r="M28" i="1"/>
  <c r="E27" i="1" l="1"/>
  <c r="D27" i="1"/>
  <c r="G27" i="1" s="1"/>
  <c r="K29" i="1"/>
  <c r="N29" i="1" s="1"/>
  <c r="J29" i="1"/>
  <c r="C28" i="1" l="1"/>
  <c r="F28" i="1" s="1"/>
  <c r="B28" i="1"/>
  <c r="L29" i="1"/>
  <c r="O29" i="1" s="1"/>
  <c r="M29" i="1"/>
  <c r="D28" i="1" l="1"/>
  <c r="G28" i="1" s="1"/>
  <c r="E28" i="1"/>
  <c r="J30" i="1"/>
  <c r="K30" i="1"/>
  <c r="N30" i="1" s="1"/>
  <c r="L30" i="1" l="1"/>
  <c r="O30" i="1" s="1"/>
  <c r="M30" i="1"/>
</calcChain>
</file>

<file path=xl/sharedStrings.xml><?xml version="1.0" encoding="utf-8"?>
<sst xmlns="http://schemas.openxmlformats.org/spreadsheetml/2006/main" count="32" uniqueCount="24">
  <si>
    <t>RAÍCES → MÉTODO DE BISECCIÓN</t>
  </si>
  <si>
    <t>Ejercicio:</t>
  </si>
  <si>
    <t>Determinar las dos soluciones de la ecuación x^3 − e^{0.8x} = 20 en 0 ≤ x ≤ 8.</t>
  </si>
  <si>
    <t>Función para el método de raíces:</t>
  </si>
  <si>
    <t>f(x) = x^3 − e^{0.8x} − 20</t>
  </si>
  <si>
    <t>Tabla de exploración (para la gráfica)</t>
  </si>
  <si>
    <t>x</t>
  </si>
  <si>
    <t>f(x)</t>
  </si>
  <si>
    <t>El cambio de signo entre 3 y 4 indica una raíz.</t>
  </si>
  <si>
    <t>Tolerancia (criterio)</t>
  </si>
  <si>
    <t>tol = 0.005</t>
  </si>
  <si>
    <t>El cambio de signo entre 7 y 8 indica otra raíz.</t>
  </si>
  <si>
    <t>Condición:</t>
  </si>
  <si>
    <t>|f(m)| ≤ tol</t>
  </si>
  <si>
    <t>Raíz 1 (intervalo 3–4)</t>
  </si>
  <si>
    <t>Raíz 2 (intervalo 7–8)</t>
  </si>
  <si>
    <t>#</t>
  </si>
  <si>
    <t>a</t>
  </si>
  <si>
    <t>b</t>
  </si>
  <si>
    <t>m</t>
  </si>
  <si>
    <t>f(a)</t>
  </si>
  <si>
    <t>f(b)</t>
  </si>
  <si>
    <t>f(m)</t>
  </si>
  <si>
    <t>RAÍZ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</si>
</sst>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D966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4" borderId="1" xfId="0" applyFill="1" applyBorder="1"/>
    <xf numFmtId="0" fontId="0" fillId="3" borderId="1" xfId="0" applyFill="1" applyBorder="1"/>
    <xf numFmtId="0" fontId="2" fillId="3" borderId="1" xfId="0" applyFont="1" applyFill="1" applyBorder="1"/>
    <xf numFmtId="0" fontId="1" fillId="0" borderId="0" xfId="0" applyFont="1"/>
    <xf numFmtId="0" fontId="0" fillId="0" borderId="0" xfId="0"/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Gráfica de la función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Biseccion_Ej1!$A$10:$A$16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Biseccion_Ej1!$B$10:$B$16</c:f>
              <c:numCache>
                <c:formatCode>General</c:formatCode>
                <c:ptCount val="7"/>
                <c:pt idx="0">
                  <c:v>-21</c:v>
                </c:pt>
                <c:pt idx="1">
                  <c:v>-21.225540928492467</c:v>
                </c:pt>
                <c:pt idx="2">
                  <c:v>-16.953032424395115</c:v>
                </c:pt>
                <c:pt idx="3">
                  <c:v>-4.0231763806416048</c:v>
                </c:pt>
                <c:pt idx="4">
                  <c:v>19.467469802890648</c:v>
                </c:pt>
                <c:pt idx="5">
                  <c:v>50.401849966855764</c:v>
                </c:pt>
                <c:pt idx="6">
                  <c:v>74.489582481265032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FE-4627-9BD2-D129F30F652C}"/>
            </c:ext>
          </c:extLst>
        </c:ser>
        <c:ser>
          <c:idx val="1"/>
          <c:order val="1"/>
          <c:tx>
            <c:v>Raiz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Biseccion_Ej1!$D$28</c:f>
              <c:numCache>
                <c:formatCode>General</c:formatCode>
                <c:ptCount val="1"/>
                <c:pt idx="0">
                  <c:v>3.2080078125</c:v>
                </c:pt>
              </c:numCache>
            </c:numRef>
          </c:xVal>
          <c:yVal>
            <c:numRef>
              <c:f>Biseccion_Ej1!$G$28</c:f>
              <c:numCache>
                <c:formatCode>General</c:formatCode>
                <c:ptCount val="1"/>
                <c:pt idx="0">
                  <c:v>-4.3372920982065466E-3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FE-4627-9BD2-D129F30F652C}"/>
            </c:ext>
          </c:extLst>
        </c:ser>
        <c:ser>
          <c:idx val="2"/>
          <c:order val="2"/>
          <c:tx>
            <c:v>Raiz 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Biseccion_Ej1!$L$31</c:f>
              <c:numCache>
                <c:formatCode>General</c:formatCode>
                <c:ptCount val="1"/>
                <c:pt idx="0">
                  <c:v>7.4898681640625</c:v>
                </c:pt>
              </c:numCache>
            </c:numRef>
          </c:xVal>
          <c:yVal>
            <c:numRef>
              <c:f>Biseccion_Ej1!$O$31</c:f>
              <c:numCache>
                <c:formatCode>General</c:formatCode>
                <c:ptCount val="1"/>
                <c:pt idx="0">
                  <c:v>-4.4692766700791253E-3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DFE-4627-9BD2-D129F30F6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214447"/>
        <c:axId val="1021963823"/>
      </c:scatterChart>
      <c:valAx>
        <c:axId val="103221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21963823"/>
        <c:crosses val="autoZero"/>
        <c:crossBetween val="midCat"/>
      </c:valAx>
      <c:valAx>
        <c:axId val="102196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baseline="0"/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32214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765704</xdr:colOff>
      <xdr:row>29</xdr:row>
      <xdr:rowOff>121178</xdr:rowOff>
    </xdr:from>
    <xdr:to>
      <xdr:col>6</xdr:col>
      <xdr:colOff>537104</xdr:colOff>
      <xdr:row>44</xdr:row>
      <xdr:rowOff>6878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4300F64-4715-637D-4928-BCE4DA690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zoomScale="90" zoomScaleNormal="90" workbookViewId="0">
      <selection activeCell="I39" sqref="I39"/>
    </sheetView>
  </sheetViews>
  <sheetFormatPr baseColWidth="10" defaultColWidth="9.140625" defaultRowHeight="15" x14ac:dyDescent="0.25"/>
  <cols>
    <col min="1" max="15" width="12" customWidth="1"/>
  </cols>
  <sheetData>
    <row r="1" spans="1:14" ht="18.75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3" spans="1:14" x14ac:dyDescent="0.25">
      <c r="A3" s="1" t="s">
        <v>1</v>
      </c>
      <c r="B3" s="8" t="s">
        <v>2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5" spans="1:14" x14ac:dyDescent="0.25">
      <c r="A5" s="1" t="s">
        <v>3</v>
      </c>
      <c r="B5" s="8" t="s">
        <v>4</v>
      </c>
      <c r="C5" s="8"/>
      <c r="D5" s="8"/>
    </row>
    <row r="7" spans="1:14" x14ac:dyDescent="0.25">
      <c r="A7" s="1" t="s">
        <v>5</v>
      </c>
    </row>
    <row r="9" spans="1:14" x14ac:dyDescent="0.25">
      <c r="A9" s="2" t="s">
        <v>6</v>
      </c>
      <c r="B9" s="2" t="s">
        <v>7</v>
      </c>
    </row>
    <row r="10" spans="1:14" x14ac:dyDescent="0.25">
      <c r="A10" s="3">
        <f>0</f>
        <v>0</v>
      </c>
      <c r="B10" s="3">
        <f>A10^3-EXP(0.8*A10)-20</f>
        <v>-21</v>
      </c>
      <c r="D10" s="8" t="s">
        <v>8</v>
      </c>
      <c r="E10" s="8"/>
      <c r="F10" s="8"/>
      <c r="G10" s="8"/>
      <c r="H10" s="8"/>
      <c r="I10" s="8"/>
      <c r="J10" s="8"/>
      <c r="L10" s="1" t="s">
        <v>9</v>
      </c>
      <c r="M10" s="4" t="s">
        <v>10</v>
      </c>
    </row>
    <row r="11" spans="1:14" x14ac:dyDescent="0.25">
      <c r="A11" s="3">
        <f>A10+1</f>
        <v>1</v>
      </c>
      <c r="B11" s="3">
        <f t="shared" ref="B11:B16" si="0">A11^3-EXP(0.8*A11)-20</f>
        <v>-21.225540928492467</v>
      </c>
      <c r="D11" s="8" t="s">
        <v>11</v>
      </c>
      <c r="E11" s="8"/>
      <c r="F11" s="8"/>
      <c r="G11" s="8"/>
      <c r="H11" s="8"/>
      <c r="I11" s="8"/>
      <c r="J11" s="8"/>
      <c r="L11" t="s">
        <v>12</v>
      </c>
      <c r="M11" s="4" t="s">
        <v>13</v>
      </c>
    </row>
    <row r="12" spans="1:14" x14ac:dyDescent="0.25">
      <c r="A12" s="3">
        <f t="shared" ref="A12:A16" si="1">A11+1</f>
        <v>2</v>
      </c>
      <c r="B12" s="3">
        <f t="shared" si="0"/>
        <v>-16.953032424395115</v>
      </c>
    </row>
    <row r="13" spans="1:14" x14ac:dyDescent="0.25">
      <c r="A13" s="9">
        <f t="shared" si="1"/>
        <v>3</v>
      </c>
      <c r="B13" s="9">
        <f t="shared" si="0"/>
        <v>-4.0231763806416048</v>
      </c>
    </row>
    <row r="14" spans="1:14" x14ac:dyDescent="0.25">
      <c r="A14" s="9">
        <f t="shared" si="1"/>
        <v>4</v>
      </c>
      <c r="B14" s="9">
        <f t="shared" si="0"/>
        <v>19.467469802890648</v>
      </c>
    </row>
    <row r="15" spans="1:14" x14ac:dyDescent="0.25">
      <c r="A15" s="3">
        <f t="shared" si="1"/>
        <v>5</v>
      </c>
      <c r="B15" s="3">
        <f t="shared" si="0"/>
        <v>50.401849966855764</v>
      </c>
    </row>
    <row r="16" spans="1:14" x14ac:dyDescent="0.25">
      <c r="A16" s="3">
        <f t="shared" si="1"/>
        <v>6</v>
      </c>
      <c r="B16" s="3">
        <f t="shared" si="0"/>
        <v>74.489582481265032</v>
      </c>
    </row>
    <row r="17" spans="1:16" x14ac:dyDescent="0.25">
      <c r="A17" s="6" t="s">
        <v>14</v>
      </c>
      <c r="B17" s="5">
        <v>52.5735925738473</v>
      </c>
      <c r="C17">
        <f>7^3-EXP(0.8*7)-20</f>
        <v>52.573592573847236</v>
      </c>
      <c r="I17" s="1" t="s">
        <v>15</v>
      </c>
    </row>
    <row r="18" spans="1:16" x14ac:dyDescent="0.25">
      <c r="A18" s="2" t="s">
        <v>16</v>
      </c>
      <c r="B18" s="2" t="s">
        <v>17</v>
      </c>
      <c r="C18" s="2" t="s">
        <v>18</v>
      </c>
      <c r="D18" s="2" t="s">
        <v>19</v>
      </c>
      <c r="E18" s="2" t="s">
        <v>20</v>
      </c>
      <c r="F18" s="2" t="s">
        <v>21</v>
      </c>
      <c r="G18" s="2" t="s">
        <v>22</v>
      </c>
      <c r="I18" s="2" t="s">
        <v>16</v>
      </c>
      <c r="J18" s="2" t="s">
        <v>17</v>
      </c>
      <c r="K18" s="2" t="s">
        <v>18</v>
      </c>
      <c r="L18" s="2" t="s">
        <v>19</v>
      </c>
      <c r="M18" s="2" t="s">
        <v>20</v>
      </c>
      <c r="N18" s="2" t="s">
        <v>21</v>
      </c>
      <c r="O18" s="2" t="s">
        <v>22</v>
      </c>
    </row>
    <row r="19" spans="1:16" x14ac:dyDescent="0.25">
      <c r="A19" s="3">
        <f>0</f>
        <v>0</v>
      </c>
      <c r="B19" s="3">
        <f>3</f>
        <v>3</v>
      </c>
      <c r="C19" s="3">
        <f>4</f>
        <v>4</v>
      </c>
      <c r="D19" s="3">
        <f>(B19+C19)/2</f>
        <v>3.5</v>
      </c>
      <c r="E19" s="3">
        <f>B19^3-EXP(0.8*B19)-20</f>
        <v>-4.0231763806416048</v>
      </c>
      <c r="F19" s="3">
        <f>C19^3-EXP(0.8*C19)-20</f>
        <v>19.467469802890648</v>
      </c>
      <c r="G19" s="3">
        <f>D19^3-EXP(0.8*D19)-20</f>
        <v>6.4303532289029448</v>
      </c>
      <c r="I19" s="3">
        <f>0</f>
        <v>0</v>
      </c>
      <c r="J19" s="3">
        <f>7</f>
        <v>7</v>
      </c>
      <c r="K19" s="3">
        <f>8</f>
        <v>8</v>
      </c>
      <c r="L19" s="3">
        <f>(J19+K19)/2</f>
        <v>7.5</v>
      </c>
      <c r="M19" s="3">
        <f>J19^3-EXP(0.8*J19)-20</f>
        <v>52.573592573847236</v>
      </c>
      <c r="N19" s="3">
        <f>K19^3-EXP(0.8*K19)-20</f>
        <v>-109.84503787208223</v>
      </c>
      <c r="O19" s="3">
        <f>L19^3-EXP(0.8*L19)-20</f>
        <v>-1.5537934927351102</v>
      </c>
    </row>
    <row r="20" spans="1:16" x14ac:dyDescent="0.25">
      <c r="A20" s="3">
        <f>A19+1</f>
        <v>1</v>
      </c>
      <c r="B20" s="3">
        <f>IF(E19*G19&lt;0,B19,D19)</f>
        <v>3</v>
      </c>
      <c r="C20" s="3">
        <f>IF(E19*G19&lt;0,D19,C19)</f>
        <v>3.5</v>
      </c>
      <c r="D20" s="3">
        <f>(B20+C20)/2</f>
        <v>3.25</v>
      </c>
      <c r="E20" s="3">
        <f>B20^3-EXP(0.8*B20)-20</f>
        <v>-4.0231763806416048</v>
      </c>
      <c r="F20" s="3">
        <f>C20^3-EXP(0.8*C20)-20</f>
        <v>6.4303532289029448</v>
      </c>
      <c r="G20" s="3">
        <f>D20^3-EXP(0.8*D20)-20</f>
        <v>0.86438696499831025</v>
      </c>
      <c r="I20" s="3">
        <f>I19+1</f>
        <v>1</v>
      </c>
      <c r="J20" s="3">
        <f>IF(M19*O19&lt;0,J19,L19)</f>
        <v>7</v>
      </c>
      <c r="K20" s="3">
        <f>IF(M19*O19&lt;0,L19,K19)</f>
        <v>7.5</v>
      </c>
      <c r="L20" s="3">
        <f>(J20+K20)/2</f>
        <v>7.25</v>
      </c>
      <c r="M20" s="3">
        <f>J20^3-EXP(0.8*J20)-20</f>
        <v>52.573592573847236</v>
      </c>
      <c r="N20" s="3">
        <f>K20^3-EXP(0.8*K20)-20</f>
        <v>-1.5537934927351102</v>
      </c>
      <c r="O20" s="3">
        <f>L20^3-EXP(0.8*L20)-20</f>
        <v>30.778565090351094</v>
      </c>
    </row>
    <row r="21" spans="1:16" x14ac:dyDescent="0.25">
      <c r="A21" s="3">
        <f t="shared" ref="A21:A28" si="2">A20+1</f>
        <v>2</v>
      </c>
      <c r="B21" s="3">
        <f t="shared" ref="B21:B28" si="3">IF(E20*G20&lt;0,B20,D20)</f>
        <v>3</v>
      </c>
      <c r="C21" s="3">
        <f t="shared" ref="C21:C28" si="4">IF(E20*G20&lt;0,D20,C20)</f>
        <v>3.25</v>
      </c>
      <c r="D21" s="3">
        <f t="shared" ref="D21:D28" si="5">(B21+C21)/2</f>
        <v>3.125</v>
      </c>
      <c r="E21" s="3">
        <f t="shared" ref="E21:E28" si="6">B21^3-EXP(0.8*B21)-20</f>
        <v>-4.0231763806416048</v>
      </c>
      <c r="F21" s="3">
        <f t="shared" ref="F21:F28" si="7">C21^3-EXP(0.8*C21)-20</f>
        <v>0.86438696499831025</v>
      </c>
      <c r="G21" s="3">
        <f t="shared" ref="G21:G28" si="8">D21^3-EXP(0.8*D21)-20</f>
        <v>-1.664915835703475</v>
      </c>
      <c r="I21" s="3">
        <f t="shared" ref="I21:I30" si="9">I20+1</f>
        <v>2</v>
      </c>
      <c r="J21" s="3">
        <f t="shared" ref="J21:J30" si="10">IF(M20*O20&lt;0,J20,L20)</f>
        <v>7.25</v>
      </c>
      <c r="K21" s="3">
        <f t="shared" ref="K21:K30" si="11">IF(M20*O20&lt;0,L20,K20)</f>
        <v>7.5</v>
      </c>
      <c r="L21" s="3">
        <f t="shared" ref="L21:L30" si="12">(J21+K21)/2</f>
        <v>7.375</v>
      </c>
      <c r="M21" s="3">
        <f t="shared" ref="M21:M30" si="13">J21^3-EXP(0.8*J21)-20</f>
        <v>30.778565090351094</v>
      </c>
      <c r="N21" s="3">
        <f t="shared" ref="N21:N30" si="14">K21^3-EXP(0.8*K21)-20</f>
        <v>-1.5537934927351102</v>
      </c>
      <c r="O21" s="3">
        <f t="shared" ref="O21:O30" si="15">L21^3-EXP(0.8*L21)-20</f>
        <v>16.093391509671108</v>
      </c>
    </row>
    <row r="22" spans="1:16" x14ac:dyDescent="0.25">
      <c r="A22" s="3">
        <f t="shared" si="2"/>
        <v>3</v>
      </c>
      <c r="B22" s="3">
        <f t="shared" si="3"/>
        <v>3.125</v>
      </c>
      <c r="C22" s="3">
        <f t="shared" si="4"/>
        <v>3.25</v>
      </c>
      <c r="D22" s="3">
        <f t="shared" si="5"/>
        <v>3.1875</v>
      </c>
      <c r="E22" s="3">
        <f t="shared" si="6"/>
        <v>-1.664915835703475</v>
      </c>
      <c r="F22" s="3">
        <f t="shared" si="7"/>
        <v>0.86438696499831025</v>
      </c>
      <c r="G22" s="3">
        <f t="shared" si="8"/>
        <v>-0.42160573578803451</v>
      </c>
      <c r="I22" s="3">
        <f t="shared" si="9"/>
        <v>3</v>
      </c>
      <c r="J22" s="3">
        <f t="shared" si="10"/>
        <v>7.375</v>
      </c>
      <c r="K22" s="3">
        <f t="shared" si="11"/>
        <v>7.5</v>
      </c>
      <c r="L22" s="3">
        <f t="shared" si="12"/>
        <v>7.4375</v>
      </c>
      <c r="M22" s="3">
        <f t="shared" si="13"/>
        <v>16.093391509671108</v>
      </c>
      <c r="N22" s="3">
        <f t="shared" si="14"/>
        <v>-1.5537934927351102</v>
      </c>
      <c r="O22" s="3">
        <f t="shared" si="15"/>
        <v>7.6624324232631125</v>
      </c>
    </row>
    <row r="23" spans="1:16" x14ac:dyDescent="0.25">
      <c r="A23" s="3">
        <f t="shared" si="2"/>
        <v>4</v>
      </c>
      <c r="B23" s="3">
        <f t="shared" si="3"/>
        <v>3.1875</v>
      </c>
      <c r="C23" s="3">
        <f t="shared" si="4"/>
        <v>3.25</v>
      </c>
      <c r="D23" s="3">
        <f t="shared" si="5"/>
        <v>3.21875</v>
      </c>
      <c r="E23" s="3">
        <f t="shared" si="6"/>
        <v>-0.42160573578803451</v>
      </c>
      <c r="F23" s="3">
        <f t="shared" si="7"/>
        <v>0.86438696499831025</v>
      </c>
      <c r="G23" s="3">
        <f t="shared" si="8"/>
        <v>0.21606443330685821</v>
      </c>
      <c r="I23" s="3">
        <f t="shared" si="9"/>
        <v>4</v>
      </c>
      <c r="J23" s="3">
        <f t="shared" si="10"/>
        <v>7.4375</v>
      </c>
      <c r="K23" s="3">
        <f t="shared" si="11"/>
        <v>7.5</v>
      </c>
      <c r="L23" s="3">
        <f t="shared" si="12"/>
        <v>7.46875</v>
      </c>
      <c r="M23" s="3">
        <f t="shared" si="13"/>
        <v>7.6624324232631125</v>
      </c>
      <c r="N23" s="3">
        <f t="shared" si="14"/>
        <v>-1.5537934927351102</v>
      </c>
      <c r="O23" s="3">
        <f t="shared" si="15"/>
        <v>3.1554035475757587</v>
      </c>
    </row>
    <row r="24" spans="1:16" x14ac:dyDescent="0.25">
      <c r="A24" s="3">
        <f t="shared" si="2"/>
        <v>5</v>
      </c>
      <c r="B24" s="3">
        <f t="shared" si="3"/>
        <v>3.1875</v>
      </c>
      <c r="C24" s="3">
        <f t="shared" si="4"/>
        <v>3.21875</v>
      </c>
      <c r="D24" s="3">
        <f t="shared" si="5"/>
        <v>3.203125</v>
      </c>
      <c r="E24" s="3">
        <f t="shared" si="6"/>
        <v>-0.42160573578803451</v>
      </c>
      <c r="F24" s="3">
        <f t="shared" si="7"/>
        <v>0.21606443330685821</v>
      </c>
      <c r="G24" s="3">
        <f t="shared" si="8"/>
        <v>-0.10410353645155368</v>
      </c>
      <c r="I24" s="3">
        <f t="shared" si="9"/>
        <v>5</v>
      </c>
      <c r="J24" s="3">
        <f t="shared" si="10"/>
        <v>7.46875</v>
      </c>
      <c r="K24" s="3">
        <f t="shared" si="11"/>
        <v>7.5</v>
      </c>
      <c r="L24" s="3">
        <f t="shared" si="12"/>
        <v>7.484375</v>
      </c>
      <c r="M24" s="3">
        <f t="shared" si="13"/>
        <v>3.1554035475757587</v>
      </c>
      <c r="N24" s="3">
        <f t="shared" si="14"/>
        <v>-1.5537934927351102</v>
      </c>
      <c r="O24" s="3">
        <f t="shared" si="15"/>
        <v>0.8264500659092846</v>
      </c>
    </row>
    <row r="25" spans="1:16" x14ac:dyDescent="0.25">
      <c r="A25" s="3">
        <f t="shared" si="2"/>
        <v>6</v>
      </c>
      <c r="B25" s="3">
        <f t="shared" si="3"/>
        <v>3.203125</v>
      </c>
      <c r="C25" s="3">
        <f t="shared" si="4"/>
        <v>3.21875</v>
      </c>
      <c r="D25" s="3">
        <f t="shared" si="5"/>
        <v>3.2109375</v>
      </c>
      <c r="E25" s="3">
        <f t="shared" si="6"/>
        <v>-0.10410353645155368</v>
      </c>
      <c r="F25" s="3">
        <f t="shared" si="7"/>
        <v>0.21606443330685821</v>
      </c>
      <c r="G25" s="3">
        <f t="shared" si="8"/>
        <v>5.5647382134296208E-2</v>
      </c>
      <c r="I25" s="3">
        <f t="shared" si="9"/>
        <v>6</v>
      </c>
      <c r="J25" s="3">
        <f t="shared" si="10"/>
        <v>7.484375</v>
      </c>
      <c r="K25" s="3">
        <f t="shared" si="11"/>
        <v>7.5</v>
      </c>
      <c r="L25" s="3">
        <f t="shared" si="12"/>
        <v>7.4921875</v>
      </c>
      <c r="M25" s="3">
        <f t="shared" si="13"/>
        <v>0.8264500659092846</v>
      </c>
      <c r="N25" s="3">
        <f t="shared" si="14"/>
        <v>-1.5537934927351102</v>
      </c>
      <c r="O25" s="3">
        <f t="shared" si="15"/>
        <v>-0.35721317290773413</v>
      </c>
    </row>
    <row r="26" spans="1:16" x14ac:dyDescent="0.25">
      <c r="A26" s="3">
        <f t="shared" si="2"/>
        <v>7</v>
      </c>
      <c r="B26" s="3">
        <f t="shared" si="3"/>
        <v>3.203125</v>
      </c>
      <c r="C26" s="3">
        <f t="shared" si="4"/>
        <v>3.2109375</v>
      </c>
      <c r="D26" s="3">
        <f t="shared" si="5"/>
        <v>3.20703125</v>
      </c>
      <c r="E26" s="3">
        <f t="shared" si="6"/>
        <v>-0.10410353645155368</v>
      </c>
      <c r="F26" s="3">
        <f t="shared" si="7"/>
        <v>5.5647382134296208E-2</v>
      </c>
      <c r="G26" s="3">
        <f t="shared" si="8"/>
        <v>-2.4311363882567605E-2</v>
      </c>
      <c r="I26" s="3">
        <f t="shared" si="9"/>
        <v>7</v>
      </c>
      <c r="J26" s="3">
        <f t="shared" si="10"/>
        <v>7.484375</v>
      </c>
      <c r="K26" s="3">
        <f t="shared" si="11"/>
        <v>7.4921875</v>
      </c>
      <c r="L26" s="3">
        <f t="shared" si="12"/>
        <v>7.48828125</v>
      </c>
      <c r="M26" s="3">
        <f t="shared" si="13"/>
        <v>0.8264500659092846</v>
      </c>
      <c r="N26" s="3">
        <f t="shared" si="14"/>
        <v>-0.35721317290773413</v>
      </c>
      <c r="O26" s="3">
        <f t="shared" si="15"/>
        <v>0.23622714772449172</v>
      </c>
    </row>
    <row r="27" spans="1:16" x14ac:dyDescent="0.25">
      <c r="A27" s="3">
        <f t="shared" si="2"/>
        <v>8</v>
      </c>
      <c r="B27" s="3">
        <f t="shared" si="3"/>
        <v>3.20703125</v>
      </c>
      <c r="C27" s="3">
        <f t="shared" si="4"/>
        <v>3.2109375</v>
      </c>
      <c r="D27" s="3">
        <f t="shared" si="5"/>
        <v>3.208984375</v>
      </c>
      <c r="E27" s="3">
        <f t="shared" si="6"/>
        <v>-2.4311363882567605E-2</v>
      </c>
      <c r="F27" s="3">
        <f t="shared" si="7"/>
        <v>5.5647382134296208E-2</v>
      </c>
      <c r="G27" s="3">
        <f t="shared" si="8"/>
        <v>1.5647189915139137E-2</v>
      </c>
      <c r="I27" s="3">
        <f t="shared" si="9"/>
        <v>8</v>
      </c>
      <c r="J27" s="3">
        <f t="shared" si="10"/>
        <v>7.48828125</v>
      </c>
      <c r="K27" s="3">
        <f t="shared" si="11"/>
        <v>7.4921875</v>
      </c>
      <c r="L27" s="3">
        <f t="shared" si="12"/>
        <v>7.490234375</v>
      </c>
      <c r="M27" s="3">
        <f t="shared" si="13"/>
        <v>0.23622714772449172</v>
      </c>
      <c r="N27" s="3">
        <f t="shared" si="14"/>
        <v>-0.35721317290773413</v>
      </c>
      <c r="O27" s="3">
        <f t="shared" si="15"/>
        <v>-6.0090097039847024E-2</v>
      </c>
    </row>
    <row r="28" spans="1:16" x14ac:dyDescent="0.25">
      <c r="A28" s="10">
        <f t="shared" si="2"/>
        <v>9</v>
      </c>
      <c r="B28" s="10">
        <f t="shared" si="3"/>
        <v>3.20703125</v>
      </c>
      <c r="C28" s="10">
        <f t="shared" si="4"/>
        <v>3.208984375</v>
      </c>
      <c r="D28" s="10">
        <f t="shared" si="5"/>
        <v>3.2080078125</v>
      </c>
      <c r="E28" s="10">
        <f t="shared" si="6"/>
        <v>-2.4311363882567605E-2</v>
      </c>
      <c r="F28" s="10">
        <f t="shared" si="7"/>
        <v>1.5647189915139137E-2</v>
      </c>
      <c r="G28" s="10">
        <f t="shared" si="8"/>
        <v>-4.3372920982065466E-3</v>
      </c>
      <c r="H28" s="1" t="s">
        <v>23</v>
      </c>
      <c r="I28" s="3">
        <f t="shared" si="9"/>
        <v>9</v>
      </c>
      <c r="J28" s="3">
        <f t="shared" si="10"/>
        <v>7.48828125</v>
      </c>
      <c r="K28" s="3">
        <f t="shared" si="11"/>
        <v>7.490234375</v>
      </c>
      <c r="L28" s="3">
        <f t="shared" si="12"/>
        <v>7.4892578125</v>
      </c>
      <c r="M28" s="3">
        <f t="shared" si="13"/>
        <v>0.23622714772449172</v>
      </c>
      <c r="N28" s="3">
        <f t="shared" si="14"/>
        <v>-6.0090097039847024E-2</v>
      </c>
      <c r="O28" s="3">
        <f t="shared" si="15"/>
        <v>8.8169161606231228E-2</v>
      </c>
    </row>
    <row r="29" spans="1:16" x14ac:dyDescent="0.25">
      <c r="I29" s="3">
        <f t="shared" si="9"/>
        <v>10</v>
      </c>
      <c r="J29" s="3">
        <f t="shared" si="10"/>
        <v>7.4892578125</v>
      </c>
      <c r="K29" s="3">
        <f t="shared" si="11"/>
        <v>7.490234375</v>
      </c>
      <c r="L29" s="3">
        <f t="shared" si="12"/>
        <v>7.48974609375</v>
      </c>
      <c r="M29" s="3">
        <f t="shared" si="13"/>
        <v>8.8169161606231228E-2</v>
      </c>
      <c r="N29" s="3">
        <f t="shared" si="14"/>
        <v>-6.0090097039847024E-2</v>
      </c>
      <c r="O29" s="3">
        <f t="shared" si="15"/>
        <v>1.406470292135964E-2</v>
      </c>
    </row>
    <row r="30" spans="1:16" x14ac:dyDescent="0.25">
      <c r="I30" s="3">
        <f t="shared" si="9"/>
        <v>11</v>
      </c>
      <c r="J30" s="3">
        <f t="shared" si="10"/>
        <v>7.48974609375</v>
      </c>
      <c r="K30" s="3">
        <f t="shared" si="11"/>
        <v>7.490234375</v>
      </c>
      <c r="L30" s="3">
        <f t="shared" si="12"/>
        <v>7.489990234375</v>
      </c>
      <c r="M30" s="3">
        <f t="shared" si="13"/>
        <v>1.406470292135964E-2</v>
      </c>
      <c r="N30" s="3">
        <f t="shared" si="14"/>
        <v>-6.0090097039847024E-2</v>
      </c>
      <c r="O30" s="3">
        <f t="shared" si="15"/>
        <v>-2.300640295266021E-2</v>
      </c>
    </row>
    <row r="31" spans="1:16" x14ac:dyDescent="0.25">
      <c r="I31" s="10">
        <f t="shared" ref="I31" si="16">I30+1</f>
        <v>12</v>
      </c>
      <c r="J31" s="10">
        <f t="shared" ref="J31" si="17">IF(M30*O30&lt;0,J30,L30)</f>
        <v>7.48974609375</v>
      </c>
      <c r="K31" s="10">
        <f t="shared" ref="K31" si="18">IF(M30*O30&lt;0,L30,K30)</f>
        <v>7.489990234375</v>
      </c>
      <c r="L31" s="10">
        <f t="shared" ref="L31" si="19">(J31+K31)/2</f>
        <v>7.4898681640625</v>
      </c>
      <c r="M31" s="10">
        <f t="shared" ref="M31" si="20">J31^3-EXP(0.8*J31)-20</f>
        <v>1.406470292135964E-2</v>
      </c>
      <c r="N31" s="10">
        <f t="shared" ref="N31" si="21">K31^3-EXP(0.8*K31)-20</f>
        <v>-2.300640295266021E-2</v>
      </c>
      <c r="O31" s="10">
        <f t="shared" ref="O31" si="22">L31^3-EXP(0.8*L31)-20</f>
        <v>-4.4692766700791253E-3</v>
      </c>
      <c r="P31" s="1" t="s">
        <v>23</v>
      </c>
    </row>
  </sheetData>
  <mergeCells count="5">
    <mergeCell ref="A1:N1"/>
    <mergeCell ref="B3:N3"/>
    <mergeCell ref="B5:D5"/>
    <mergeCell ref="D10:J10"/>
    <mergeCell ref="D11:J1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Biseccion_Ej1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Genesis Jalid Tapia Cortez</cp:lastModifiedBy>
  <dcterms:created xsi:type="dcterms:W3CDTF">2025-11-30T16:09:39Z</dcterms:created>
  <dcterms:modified xsi:type="dcterms:W3CDTF">2025-11-30T17:03:51Z</dcterms:modified>
</cp:coreProperties>
</file>