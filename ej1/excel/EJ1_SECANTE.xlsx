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13_ncr:1_{F20EC7EB-7C99-4BA6-AE91-E9A3F5E387D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ecante_Ej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2" i="1"/>
  <c r="F23" i="1" s="1"/>
  <c r="G23" i="1" s="1"/>
  <c r="F22" i="1"/>
  <c r="G21" i="1"/>
  <c r="E22" i="1"/>
  <c r="E23" i="1"/>
  <c r="E24" i="1"/>
  <c r="E25" i="1" s="1"/>
  <c r="E26" i="1" s="1"/>
  <c r="F21" i="1"/>
  <c r="E21" i="1"/>
  <c r="G20" i="1"/>
  <c r="F20" i="1"/>
  <c r="E20" i="1"/>
  <c r="G19" i="1"/>
  <c r="F19" i="1"/>
  <c r="E19" i="1"/>
  <c r="C22" i="1"/>
  <c r="B23" i="1" s="1"/>
  <c r="B22" i="1"/>
  <c r="A22" i="1"/>
  <c r="A23" i="1" s="1"/>
  <c r="A24" i="1" s="1"/>
  <c r="C21" i="1"/>
  <c r="B21" i="1"/>
  <c r="A21" i="1"/>
  <c r="C20" i="1"/>
  <c r="B20" i="1"/>
  <c r="A20" i="1"/>
  <c r="C19" i="1"/>
  <c r="B19" i="1"/>
  <c r="A19" i="1"/>
  <c r="B11" i="1"/>
  <c r="B12" i="1"/>
  <c r="B13" i="1"/>
  <c r="B14" i="1"/>
  <c r="B15" i="1"/>
  <c r="B16" i="1"/>
  <c r="B10" i="1"/>
  <c r="F24" i="1" l="1"/>
  <c r="G24" i="1" s="1"/>
  <c r="B24" i="1"/>
  <c r="C24" i="1" s="1"/>
  <c r="C23" i="1"/>
  <c r="F25" i="1" l="1"/>
  <c r="G25" i="1" s="1"/>
  <c r="F26" i="1" l="1"/>
</calcChain>
</file>

<file path=xl/sharedStrings.xml><?xml version="1.0" encoding="utf-8"?>
<sst xmlns="http://schemas.openxmlformats.org/spreadsheetml/2006/main" count="24" uniqueCount="21">
  <si>
    <t>RAÍCES → MÉTODO DE LA SECANTE</t>
  </si>
  <si>
    <t>Ejercicio:</t>
  </si>
  <si>
    <t>Determinar las dos soluciones de la ecuación x^3 − e^{0.8x} = 20 en 0 ≤ x ≤ 8.</t>
  </si>
  <si>
    <t>Función para el método de raíces:</t>
  </si>
  <si>
    <t>f(x) = x^3 − e^{0.8x} − 20</t>
  </si>
  <si>
    <t>Tabla de exploración (para la gráfica)</t>
  </si>
  <si>
    <t>x</t>
  </si>
  <si>
    <t>f(x)</t>
  </si>
  <si>
    <t>El cambio de signo entre 3 y 4 indica una raíz.</t>
  </si>
  <si>
    <t>El cambio de signo entre 7 y 8 indica otra raíz.</t>
  </si>
  <si>
    <t>tol = 0.00005</t>
  </si>
  <si>
    <t>Condición:</t>
  </si>
  <si>
    <t>|f(x_i)| ≤ tol</t>
  </si>
  <si>
    <t>Raíz 1 (intervalo 3–4)</t>
  </si>
  <si>
    <t>Raíz 2 (intervalo 7–8)</t>
  </si>
  <si>
    <t>#</t>
  </si>
  <si>
    <t>x_i</t>
  </si>
  <si>
    <t>f(x_i)</t>
  </si>
  <si>
    <t>Fórmula del método de la secante:</t>
  </si>
  <si>
    <t>x_{i+1} = x_i − f(x_i) (x_{i−1} − x_i) / ( f(x_{i−1}) − f(x_i) )</t>
  </si>
  <si>
    <t>Tolerancia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</si>
</sst>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0" xfId="0" applyFont="1"/>
    <xf numFmtId="0" fontId="0" fillId="0" borderId="0" xfId="0"/>
    <xf numFmtId="0" fontId="0" fillId="5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Secante_Ej1!$B$10:$B$16</c:f>
              <c:numCache>
                <c:formatCode>General</c:formatCode>
                <c:ptCount val="7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91-4961-AC99-0D42241F36FD}"/>
            </c:ext>
          </c:extLst>
        </c:ser>
        <c:ser>
          <c:idx val="1"/>
          <c:order val="1"/>
          <c:tx>
            <c:v>Raíz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Secante_Ej1!$B$24</c:f>
              <c:numCache>
                <c:formatCode>General</c:formatCode>
                <c:ptCount val="1"/>
                <c:pt idx="0">
                  <c:v>3.208219697395827</c:v>
                </c:pt>
              </c:numCache>
            </c:numRef>
          </c:xVal>
          <c:yVal>
            <c:numRef>
              <c:f>Secante_Ej1!$C$24</c:f>
              <c:numCache>
                <c:formatCode>General</c:formatCode>
                <c:ptCount val="1"/>
                <c:pt idx="0">
                  <c:v>-2.1406681440794273E-6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91-4961-AC99-0D42241F36FD}"/>
            </c:ext>
          </c:extLst>
        </c:ser>
        <c:ser>
          <c:idx val="2"/>
          <c:order val="2"/>
          <c:tx>
            <c:v>Raíz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Secante_Ej1!$F$26</c:f>
              <c:numCache>
                <c:formatCode>General</c:formatCode>
                <c:ptCount val="1"/>
                <c:pt idx="0">
                  <c:v>7.4898387301426341</c:v>
                </c:pt>
              </c:numCache>
            </c:numRef>
          </c:xVal>
          <c:yVal>
            <c:numRef>
              <c:f>Secante_Ej1!$G$26</c:f>
              <c:numCache>
                <c:formatCode>General</c:formatCode>
                <c:ptCount val="1"/>
                <c:pt idx="0">
                  <c:v>-2.6115685614058748E-8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91-4961-AC99-0D42241F3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379087"/>
        <c:axId val="1041734895"/>
      </c:scatterChart>
      <c:valAx>
        <c:axId val="79837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41734895"/>
        <c:crosses val="autoZero"/>
        <c:crossBetween val="midCat"/>
      </c:valAx>
      <c:valAx>
        <c:axId val="1041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9837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</xdr:row>
      <xdr:rowOff>90487</xdr:rowOff>
    </xdr:from>
    <xdr:to>
      <xdr:col>13</xdr:col>
      <xdr:colOff>47625</xdr:colOff>
      <xdr:row>15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19B705-463A-35C2-539A-C7CCD78F9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29" sqref="F29"/>
    </sheetView>
  </sheetViews>
  <sheetFormatPr baseColWidth="10" defaultColWidth="9.140625" defaultRowHeight="15" x14ac:dyDescent="0.25"/>
  <cols>
    <col min="1" max="1" width="16.140625" customWidth="1"/>
    <col min="2" max="8" width="14" customWidth="1"/>
  </cols>
  <sheetData>
    <row r="1" spans="1:8" ht="18.75" x14ac:dyDescent="0.3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25">
      <c r="A3" s="1" t="s">
        <v>1</v>
      </c>
      <c r="B3" s="8" t="s">
        <v>2</v>
      </c>
      <c r="C3" s="8"/>
      <c r="D3" s="8"/>
      <c r="E3" s="8"/>
      <c r="F3" s="8"/>
      <c r="G3" s="8"/>
      <c r="H3" s="8"/>
    </row>
    <row r="5" spans="1:8" x14ac:dyDescent="0.25">
      <c r="A5" s="1" t="s">
        <v>3</v>
      </c>
      <c r="B5" s="8" t="s">
        <v>4</v>
      </c>
      <c r="C5" s="8"/>
      <c r="D5" s="8"/>
    </row>
    <row r="7" spans="1:8" x14ac:dyDescent="0.25">
      <c r="A7" s="1" t="s">
        <v>5</v>
      </c>
    </row>
    <row r="9" spans="1:8" x14ac:dyDescent="0.25">
      <c r="A9" s="2" t="s">
        <v>6</v>
      </c>
      <c r="B9" s="2" t="s">
        <v>7</v>
      </c>
    </row>
    <row r="10" spans="1:8" x14ac:dyDescent="0.25">
      <c r="A10" s="3">
        <v>0</v>
      </c>
      <c r="B10" s="3">
        <f>A10^3-EXP(0.8*A10)-20</f>
        <v>-21</v>
      </c>
      <c r="D10" s="8" t="s">
        <v>8</v>
      </c>
      <c r="E10" s="8"/>
      <c r="F10" s="8"/>
      <c r="G10" s="8"/>
      <c r="H10" s="8"/>
    </row>
    <row r="11" spans="1:8" x14ac:dyDescent="0.25">
      <c r="A11" s="3">
        <v>1</v>
      </c>
      <c r="B11" s="3">
        <f t="shared" ref="B11:B16" si="0">A11^3-EXP(0.8*A11)-20</f>
        <v>-21.225540928492467</v>
      </c>
      <c r="D11" s="8" t="s">
        <v>9</v>
      </c>
      <c r="E11" s="8"/>
      <c r="F11" s="8"/>
      <c r="G11" s="8"/>
      <c r="H11" s="8"/>
    </row>
    <row r="12" spans="1:8" x14ac:dyDescent="0.25">
      <c r="A12" s="3">
        <v>2</v>
      </c>
      <c r="B12" s="3">
        <f t="shared" si="0"/>
        <v>-16.953032424395115</v>
      </c>
    </row>
    <row r="13" spans="1:8" x14ac:dyDescent="0.25">
      <c r="A13" s="4">
        <v>3</v>
      </c>
      <c r="B13" s="3">
        <f t="shared" si="0"/>
        <v>-4.0231763806416048</v>
      </c>
      <c r="D13" s="1" t="s">
        <v>20</v>
      </c>
      <c r="E13" s="5" t="s">
        <v>10</v>
      </c>
    </row>
    <row r="14" spans="1:8" x14ac:dyDescent="0.25">
      <c r="A14" s="4">
        <v>4</v>
      </c>
      <c r="B14" s="3">
        <f t="shared" si="0"/>
        <v>19.467469802890648</v>
      </c>
      <c r="D14" t="s">
        <v>11</v>
      </c>
      <c r="E14" s="5" t="s">
        <v>12</v>
      </c>
    </row>
    <row r="15" spans="1:8" x14ac:dyDescent="0.25">
      <c r="A15" s="3">
        <v>5</v>
      </c>
      <c r="B15" s="3">
        <f t="shared" si="0"/>
        <v>50.401849966855764</v>
      </c>
    </row>
    <row r="16" spans="1:8" x14ac:dyDescent="0.25">
      <c r="A16" s="3">
        <v>6</v>
      </c>
      <c r="B16" s="3">
        <f t="shared" si="0"/>
        <v>74.489582481265032</v>
      </c>
    </row>
    <row r="17" spans="1:8" x14ac:dyDescent="0.25">
      <c r="A17" s="6" t="s">
        <v>13</v>
      </c>
      <c r="B17" s="4">
        <v>52.573592573847293</v>
      </c>
      <c r="E17" s="1" t="s">
        <v>14</v>
      </c>
    </row>
    <row r="18" spans="1:8" x14ac:dyDescent="0.25">
      <c r="A18" s="2" t="s">
        <v>15</v>
      </c>
      <c r="B18" s="2" t="s">
        <v>16</v>
      </c>
      <c r="C18" s="2" t="s">
        <v>17</v>
      </c>
      <c r="E18" s="2" t="s">
        <v>15</v>
      </c>
      <c r="F18" s="2" t="s">
        <v>16</v>
      </c>
      <c r="G18" s="2" t="s">
        <v>17</v>
      </c>
    </row>
    <row r="19" spans="1:8" x14ac:dyDescent="0.25">
      <c r="A19" s="3">
        <f>0</f>
        <v>0</v>
      </c>
      <c r="B19" s="3">
        <f>3</f>
        <v>3</v>
      </c>
      <c r="C19" s="3">
        <f>B19^3-EXP(0.8*B19)-20</f>
        <v>-4.0231763806416048</v>
      </c>
      <c r="E19" s="3">
        <f>0</f>
        <v>0</v>
      </c>
      <c r="F19" s="3">
        <f>7</f>
        <v>7</v>
      </c>
      <c r="G19" s="3">
        <f>F19^3-EXP(0.8*F19)-20</f>
        <v>52.573592573847236</v>
      </c>
    </row>
    <row r="20" spans="1:8" x14ac:dyDescent="0.25">
      <c r="A20" s="3">
        <f>1</f>
        <v>1</v>
      </c>
      <c r="B20" s="3">
        <f>4</f>
        <v>4</v>
      </c>
      <c r="C20" s="3">
        <f>B20^3-EXP(0.8*B20)-20</f>
        <v>19.467469802890648</v>
      </c>
      <c r="E20" s="3">
        <f>1</f>
        <v>1</v>
      </c>
      <c r="F20" s="3">
        <f>8</f>
        <v>8</v>
      </c>
      <c r="G20" s="3">
        <f>F20^3-EXP(0.8*F20)-20</f>
        <v>-109.84503787208223</v>
      </c>
    </row>
    <row r="21" spans="1:8" x14ac:dyDescent="0.25">
      <c r="A21" s="3">
        <f>A20+1</f>
        <v>2</v>
      </c>
      <c r="B21" s="3">
        <f>B20-C20*(B19-B20)/(C19-C20)</f>
        <v>3.1712671652030582</v>
      </c>
      <c r="C21" s="3">
        <f>B21^3-EXP(0.8*B21)-20</f>
        <v>-0.74863343680182481</v>
      </c>
      <c r="E21" s="3">
        <f>E20+1</f>
        <v>2</v>
      </c>
      <c r="F21" s="3">
        <f>F20-G20*(F19-F20)/(G19-G20)</f>
        <v>7.3236918845424537</v>
      </c>
      <c r="G21" s="3">
        <f>F21^3-EXP(0.8*F21)-20</f>
        <v>22.459621607538395</v>
      </c>
    </row>
    <row r="22" spans="1:8" x14ac:dyDescent="0.25">
      <c r="A22" s="3">
        <f t="shared" ref="A22:A24" si="1">A21+1</f>
        <v>3</v>
      </c>
      <c r="B22" s="3">
        <f t="shared" ref="B22:B24" si="2">B21-C21*(B20-B21)/(C20-C21)</f>
        <v>3.2019564183666658</v>
      </c>
      <c r="C22" s="3">
        <f t="shared" ref="C22:C24" si="3">B22^3-EXP(0.8*B22)-20</f>
        <v>-0.12794153995860569</v>
      </c>
      <c r="E22" s="3">
        <f t="shared" ref="E22:E26" si="4">E21+1</f>
        <v>3</v>
      </c>
      <c r="F22" s="3">
        <f t="shared" ref="F22:F26" si="5">F21-G21*(F20-F21)/(G20-G21)</f>
        <v>7.4384998166517802</v>
      </c>
      <c r="G22" s="3">
        <f t="shared" ref="G22:G26" si="6">F22^3-EXP(0.8*F22)-20</f>
        <v>7.5213043492045699</v>
      </c>
    </row>
    <row r="23" spans="1:8" x14ac:dyDescent="0.25">
      <c r="A23" s="3">
        <f t="shared" si="1"/>
        <v>4</v>
      </c>
      <c r="B23" s="3">
        <f t="shared" si="2"/>
        <v>3.2082823110195275</v>
      </c>
      <c r="C23" s="3">
        <f t="shared" si="3"/>
        <v>1.2790238789150976E-3</v>
      </c>
      <c r="E23" s="3">
        <f t="shared" si="4"/>
        <v>4</v>
      </c>
      <c r="F23" s="3">
        <f t="shared" si="5"/>
        <v>7.4963045468743443</v>
      </c>
      <c r="G23" s="3">
        <f t="shared" si="6"/>
        <v>-0.98617349676993626</v>
      </c>
    </row>
    <row r="24" spans="1:8" x14ac:dyDescent="0.25">
      <c r="A24" s="9">
        <f t="shared" si="1"/>
        <v>5</v>
      </c>
      <c r="B24" s="9">
        <f t="shared" si="2"/>
        <v>3.208219697395827</v>
      </c>
      <c r="C24" s="9">
        <f t="shared" si="3"/>
        <v>-2.1406681440794273E-6</v>
      </c>
      <c r="D24" s="10"/>
      <c r="E24" s="3">
        <f t="shared" si="4"/>
        <v>5</v>
      </c>
      <c r="F24" s="3">
        <f t="shared" si="5"/>
        <v>7.4896039131535757</v>
      </c>
      <c r="G24" s="3">
        <f t="shared" si="6"/>
        <v>3.5648067670081218E-2</v>
      </c>
    </row>
    <row r="25" spans="1:8" x14ac:dyDescent="0.25">
      <c r="E25" s="3">
        <f t="shared" si="4"/>
        <v>6</v>
      </c>
      <c r="F25" s="3">
        <f t="shared" si="5"/>
        <v>7.4898376767113461</v>
      </c>
      <c r="G25" s="3">
        <f t="shared" si="6"/>
        <v>1.5992364939165782E-4</v>
      </c>
    </row>
    <row r="26" spans="1:8" x14ac:dyDescent="0.25">
      <c r="E26" s="9">
        <f t="shared" si="4"/>
        <v>7</v>
      </c>
      <c r="F26" s="9">
        <f t="shared" si="5"/>
        <v>7.4898387301426341</v>
      </c>
      <c r="G26" s="9">
        <f t="shared" si="6"/>
        <v>-2.6115685614058748E-8</v>
      </c>
      <c r="H26" s="10"/>
    </row>
    <row r="27" spans="1:8" x14ac:dyDescent="0.25">
      <c r="E27" s="10"/>
      <c r="F27" s="10"/>
      <c r="G27" s="10"/>
      <c r="H27" s="10"/>
    </row>
    <row r="28" spans="1:8" x14ac:dyDescent="0.25">
      <c r="E28" s="10"/>
      <c r="F28" s="10"/>
      <c r="G28" s="10"/>
      <c r="H28" s="10"/>
    </row>
    <row r="29" spans="1:8" x14ac:dyDescent="0.25">
      <c r="A29" s="1" t="s">
        <v>18</v>
      </c>
    </row>
    <row r="30" spans="1:8" x14ac:dyDescent="0.25">
      <c r="A30" s="8" t="s">
        <v>19</v>
      </c>
      <c r="B30" s="8"/>
      <c r="C30" s="8"/>
      <c r="D30" s="8"/>
      <c r="E30" s="8"/>
      <c r="F30" s="8"/>
      <c r="G30" s="8"/>
      <c r="H30" s="8"/>
    </row>
  </sheetData>
  <mergeCells count="6">
    <mergeCell ref="A30:H30"/>
    <mergeCell ref="A1:H1"/>
    <mergeCell ref="B3:H3"/>
    <mergeCell ref="B5:D5"/>
    <mergeCell ref="D10:H10"/>
    <mergeCell ref="D11:H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Secante_Ej1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2025-11-30T14:36:13Z</dcterms:created>
  <dcterms:modified xsi:type="dcterms:W3CDTF">2025-11-30T15:49:29Z</dcterms:modified>
</cp:coreProperties>
</file>