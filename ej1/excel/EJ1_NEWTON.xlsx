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OMPU\Desktop\U\METODOS NUMERICOS\PROYECTO RAICES\"/>
    </mc:Choice>
  </mc:AlternateContent>
  <xr:revisionPtr revIDLastSave="0" documentId="8_{3F8E6C74-10ED-4C04-A7FF-FD33EB01E3F8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Newton_Ej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F15" i="1"/>
  <c r="F16" i="1"/>
  <c r="F17" i="1"/>
  <c r="F18" i="1"/>
  <c r="F10" i="1"/>
  <c r="A20" i="1"/>
  <c r="A21" i="1" s="1"/>
  <c r="A22" i="1" s="1"/>
  <c r="B20" i="1"/>
  <c r="C20" i="1"/>
  <c r="D20" i="1"/>
  <c r="B21" i="1"/>
  <c r="D21" i="1" s="1"/>
  <c r="C21" i="1"/>
  <c r="B22" i="1" s="1"/>
  <c r="D19" i="1"/>
  <c r="C19" i="1"/>
  <c r="B19" i="1"/>
  <c r="A19" i="1"/>
  <c r="D18" i="1"/>
  <c r="C18" i="1"/>
  <c r="B18" i="1"/>
  <c r="A18" i="1"/>
  <c r="A13" i="1"/>
  <c r="B13" i="1"/>
  <c r="C13" i="1" s="1"/>
  <c r="D13" i="1"/>
  <c r="A12" i="1"/>
  <c r="B12" i="1"/>
  <c r="C12" i="1" s="1"/>
  <c r="D11" i="1"/>
  <c r="C11" i="1"/>
  <c r="B11" i="1"/>
  <c r="A11" i="1"/>
  <c r="D10" i="1"/>
  <c r="C10" i="1"/>
  <c r="B10" i="1"/>
  <c r="D22" i="1" l="1"/>
  <c r="C22" i="1"/>
  <c r="D12" i="1"/>
</calcChain>
</file>

<file path=xl/sharedStrings.xml><?xml version="1.0" encoding="utf-8"?>
<sst xmlns="http://schemas.openxmlformats.org/spreadsheetml/2006/main" count="21" uniqueCount="17">
  <si>
    <t>RAÍCES → MÉTODO DE NEWTON - RAPHSON</t>
  </si>
  <si>
    <t>Ejercicio:</t>
  </si>
  <si>
    <t>Determinar las dos soluciones de la ecuación x^3 − e^{0.8x} = 20 en 0 ≤ x ≤ 8.</t>
  </si>
  <si>
    <t>Función:</t>
  </si>
  <si>
    <t>f(x) = x^3 − e^{0.8x} − 20</t>
  </si>
  <si>
    <t>tol = 0.00005</t>
  </si>
  <si>
    <t>Derivada:</t>
  </si>
  <si>
    <t>f'(x) = 3x^2 − 0.8 e^{0.8x}</t>
  </si>
  <si>
    <t>Condición: |f(x_i)| ≤ tol</t>
  </si>
  <si>
    <t>Raíz 1 (x0 = 3)</t>
  </si>
  <si>
    <t>#</t>
  </si>
  <si>
    <t>x_i</t>
  </si>
  <si>
    <t>f(x_i)</t>
  </si>
  <si>
    <t>f'(x_i)</t>
  </si>
  <si>
    <t>x</t>
  </si>
  <si>
    <t>f(x)</t>
  </si>
  <si>
    <t>Raíz 2 (x0 =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</si>
</sst>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FD966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1" xfId="0" applyFill="1" applyBorder="1"/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0" xfId="0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BO"/>
              <a:t>Gráfica de la función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Newton_Ej1!$F$9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Newton_Ej1!$E$10:$E$18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Newton_Ej1!$F$10:$F$18</c:f>
              <c:numCache>
                <c:formatCode>General</c:formatCode>
                <c:ptCount val="9"/>
                <c:pt idx="0">
                  <c:v>-21</c:v>
                </c:pt>
                <c:pt idx="1">
                  <c:v>-21.225540928492467</c:v>
                </c:pt>
                <c:pt idx="2">
                  <c:v>-16.953032424395115</c:v>
                </c:pt>
                <c:pt idx="3">
                  <c:v>-4.0231763806416048</c:v>
                </c:pt>
                <c:pt idx="4">
                  <c:v>19.467469802890648</c:v>
                </c:pt>
                <c:pt idx="5">
                  <c:v>50.401849966855764</c:v>
                </c:pt>
                <c:pt idx="6">
                  <c:v>74.489582481265032</c:v>
                </c:pt>
                <c:pt idx="7">
                  <c:v>52.573592573847236</c:v>
                </c:pt>
                <c:pt idx="8">
                  <c:v>-109.84503787208223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06-4167-BF10-65275EFA8D6A}"/>
            </c:ext>
          </c:extLst>
        </c:ser>
        <c:ser>
          <c:idx val="1"/>
          <c:order val="1"/>
          <c:tx>
            <c:v>raiz 1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Newton_Ej1!$B$13</c:f>
              <c:numCache>
                <c:formatCode>General</c:formatCode>
                <c:ptCount val="1"/>
                <c:pt idx="0">
                  <c:v>3.2082198025610289</c:v>
                </c:pt>
              </c:numCache>
            </c:numRef>
          </c:xVal>
          <c:yVal>
            <c:numRef>
              <c:f>Newton_Ej1!$C$13</c:f>
              <c:numCache>
                <c:formatCode>General</c:formatCode>
                <c:ptCount val="1"/>
                <c:pt idx="0">
                  <c:v>1.1126843446618295E-8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06-4167-BF10-65275EFA8D6A}"/>
            </c:ext>
          </c:extLst>
        </c:ser>
        <c:ser>
          <c:idx val="2"/>
          <c:order val="2"/>
          <c:tx>
            <c:v>raiz 2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Newton_Ej1!$B$22</c:f>
              <c:numCache>
                <c:formatCode>General</c:formatCode>
                <c:ptCount val="1"/>
                <c:pt idx="0">
                  <c:v>7.4898387344779893</c:v>
                </c:pt>
              </c:numCache>
            </c:numRef>
          </c:xVal>
          <c:yVal>
            <c:numRef>
              <c:f>Newton_Ej1!$C$22</c:f>
              <c:numCache>
                <c:formatCode>General</c:formatCode>
                <c:ptCount val="1"/>
                <c:pt idx="0">
                  <c:v>-6.8438282596616773E-7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06-4167-BF10-65275EFA8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221647"/>
        <c:axId val="1021991103"/>
      </c:scatterChart>
      <c:valAx>
        <c:axId val="1032221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x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21991103"/>
        <c:crosses val="autoZero"/>
        <c:crossBetween val="midCat"/>
      </c:valAx>
      <c:valAx>
        <c:axId val="102199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32221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23</xdr:row>
      <xdr:rowOff>33337</xdr:rowOff>
    </xdr:from>
    <xdr:to>
      <xdr:col>5</xdr:col>
      <xdr:colOff>409575</xdr:colOff>
      <xdr:row>37</xdr:row>
      <xdr:rowOff>109537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38DF94F-7F0A-BF92-8905-01C4E46AD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G33" sqref="G33"/>
    </sheetView>
  </sheetViews>
  <sheetFormatPr baseColWidth="10" defaultColWidth="9.140625" defaultRowHeight="15" x14ac:dyDescent="0.25"/>
  <cols>
    <col min="1" max="8" width="14" customWidth="1"/>
  </cols>
  <sheetData>
    <row r="1" spans="1:8" ht="18.75" x14ac:dyDescent="0.3">
      <c r="A1" s="5" t="s">
        <v>0</v>
      </c>
      <c r="B1" s="6"/>
      <c r="C1" s="6"/>
      <c r="D1" s="6"/>
      <c r="E1" s="6"/>
      <c r="F1" s="6"/>
      <c r="G1" s="6"/>
      <c r="H1" s="6"/>
    </row>
    <row r="3" spans="1:8" x14ac:dyDescent="0.25">
      <c r="A3" s="1" t="s">
        <v>1</v>
      </c>
      <c r="B3" s="6" t="s">
        <v>2</v>
      </c>
      <c r="C3" s="6"/>
      <c r="D3" s="6"/>
      <c r="E3" s="6"/>
      <c r="F3" s="6"/>
      <c r="G3" s="6"/>
      <c r="H3" s="6"/>
    </row>
    <row r="5" spans="1:8" x14ac:dyDescent="0.25">
      <c r="A5" s="1" t="s">
        <v>3</v>
      </c>
      <c r="B5" s="6" t="s">
        <v>4</v>
      </c>
      <c r="C5" s="6"/>
      <c r="D5" s="6"/>
      <c r="F5" s="2" t="s">
        <v>5</v>
      </c>
    </row>
    <row r="6" spans="1:8" x14ac:dyDescent="0.25">
      <c r="A6" s="1" t="s">
        <v>6</v>
      </c>
      <c r="B6" s="6" t="s">
        <v>7</v>
      </c>
      <c r="C6" s="6"/>
      <c r="D6" s="6"/>
      <c r="F6" s="2" t="s">
        <v>8</v>
      </c>
    </row>
    <row r="8" spans="1:8" x14ac:dyDescent="0.25">
      <c r="A8" s="1" t="s">
        <v>9</v>
      </c>
    </row>
    <row r="9" spans="1:8" x14ac:dyDescent="0.25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</row>
    <row r="10" spans="1:8" x14ac:dyDescent="0.25">
      <c r="A10" s="4">
        <v>0</v>
      </c>
      <c r="B10" s="4">
        <f>3</f>
        <v>3</v>
      </c>
      <c r="C10" s="4">
        <f>B10^3-EXP(0.8*B10)-20</f>
        <v>-4.0231763806416048</v>
      </c>
      <c r="D10" s="4">
        <f>3*B10^2-0.8*EXP(0.8*B10)</f>
        <v>18.181458895486713</v>
      </c>
      <c r="E10" s="4">
        <v>0</v>
      </c>
      <c r="F10" s="4">
        <f>E10^3-EXP(0.8*E10)-20</f>
        <v>-21</v>
      </c>
    </row>
    <row r="11" spans="1:8" x14ac:dyDescent="0.25">
      <c r="A11" s="4">
        <f>A10+1</f>
        <v>1</v>
      </c>
      <c r="B11" s="4">
        <f>B10-C10/D10</f>
        <v>3.2212790735753498</v>
      </c>
      <c r="C11" s="4">
        <f>B11^3-EXP(0.8*B11)-20</f>
        <v>0.26813753807199703</v>
      </c>
      <c r="D11" s="4">
        <f>3*B11^2-0.8*EXP(0.8*B11)</f>
        <v>20.603586923612387</v>
      </c>
      <c r="E11" s="4">
        <v>1</v>
      </c>
      <c r="F11" s="4">
        <f t="shared" ref="F11:F18" si="0">E11^3-EXP(0.8*E11)-20</f>
        <v>-21.225540928492467</v>
      </c>
    </row>
    <row r="12" spans="1:8" x14ac:dyDescent="0.25">
      <c r="A12" s="4">
        <f>A11+1</f>
        <v>2</v>
      </c>
      <c r="B12" s="4">
        <f>B11-C11/D11</f>
        <v>3.2082649542831065</v>
      </c>
      <c r="C12" s="4">
        <f>B12^3-EXP(0.8*B12)-20</f>
        <v>9.2387586991549142E-4</v>
      </c>
      <c r="D12" s="4">
        <f>3*B12^2-0.8*EXP(0.8*B12)</f>
        <v>20.461586566493899</v>
      </c>
      <c r="E12" s="4">
        <v>2</v>
      </c>
      <c r="F12" s="4">
        <f t="shared" si="0"/>
        <v>-16.953032424395115</v>
      </c>
    </row>
    <row r="13" spans="1:8" x14ac:dyDescent="0.25">
      <c r="A13" s="7">
        <f>A12+1</f>
        <v>3</v>
      </c>
      <c r="B13" s="7">
        <f>B12-C12/D12</f>
        <v>3.2082198025610289</v>
      </c>
      <c r="C13" s="7">
        <f>B13^3-EXP(0.8*B13)-20</f>
        <v>1.1126843446618295E-8</v>
      </c>
      <c r="D13" s="7">
        <f>3*B13^2-0.8*EXP(0.8*B13)</f>
        <v>20.461093701114216</v>
      </c>
      <c r="E13" s="4">
        <v>3</v>
      </c>
      <c r="F13" s="4">
        <f t="shared" si="0"/>
        <v>-4.0231763806416048</v>
      </c>
    </row>
    <row r="14" spans="1:8" x14ac:dyDescent="0.25">
      <c r="E14" s="4">
        <v>4</v>
      </c>
      <c r="F14" s="4">
        <f t="shared" si="0"/>
        <v>19.467469802890648</v>
      </c>
    </row>
    <row r="15" spans="1:8" x14ac:dyDescent="0.25">
      <c r="E15" s="4">
        <v>5</v>
      </c>
      <c r="F15" s="4">
        <f t="shared" si="0"/>
        <v>50.401849966855764</v>
      </c>
    </row>
    <row r="16" spans="1:8" x14ac:dyDescent="0.25">
      <c r="A16" s="1" t="s">
        <v>16</v>
      </c>
      <c r="E16" s="4">
        <v>6</v>
      </c>
      <c r="F16" s="4">
        <f t="shared" si="0"/>
        <v>74.489582481265032</v>
      </c>
    </row>
    <row r="17" spans="1:6" x14ac:dyDescent="0.25">
      <c r="A17" s="3" t="s">
        <v>10</v>
      </c>
      <c r="B17" s="3" t="s">
        <v>11</v>
      </c>
      <c r="C17" s="3" t="s">
        <v>12</v>
      </c>
      <c r="D17" s="3" t="s">
        <v>13</v>
      </c>
      <c r="E17" s="4">
        <v>7</v>
      </c>
      <c r="F17" s="4">
        <f t="shared" si="0"/>
        <v>52.573592573847236</v>
      </c>
    </row>
    <row r="18" spans="1:6" x14ac:dyDescent="0.25">
      <c r="A18" s="4">
        <f>0</f>
        <v>0</v>
      </c>
      <c r="B18" s="4">
        <f>8</f>
        <v>8</v>
      </c>
      <c r="C18" s="4">
        <f>B18^3-EXP(0.8*B18)-20</f>
        <v>-109.84503787208223</v>
      </c>
      <c r="D18" s="4">
        <f>3*B18^2-0.8*EXP(0.8*B18)</f>
        <v>-289.47603029766583</v>
      </c>
      <c r="E18" s="4">
        <v>8</v>
      </c>
      <c r="F18" s="4">
        <f t="shared" si="0"/>
        <v>-109.84503787208223</v>
      </c>
    </row>
    <row r="19" spans="1:6" x14ac:dyDescent="0.25">
      <c r="A19" s="4">
        <f>A18+1</f>
        <v>1</v>
      </c>
      <c r="B19" s="4">
        <f>B18-C18/D18</f>
        <v>7.6205383991236531</v>
      </c>
      <c r="C19" s="4">
        <f>B19^3-EXP(0.8*B19)-20</f>
        <v>-21.724695141008795</v>
      </c>
      <c r="D19" s="4">
        <f>3*B19^2-0.8*EXP(0.8*B19)</f>
        <v>-181.19755570956738</v>
      </c>
    </row>
    <row r="20" spans="1:6" x14ac:dyDescent="0.25">
      <c r="A20" s="4">
        <f t="shared" ref="A20:A22" si="1">A19+1</f>
        <v>2</v>
      </c>
      <c r="B20" s="4">
        <f t="shared" ref="B20:B22" si="2">B19-C19/D19</f>
        <v>7.500643320760509</v>
      </c>
      <c r="C20" s="4">
        <f t="shared" ref="C20:C22" si="3">B20^3-EXP(0.8*B20)-20</f>
        <v>-1.6529045343864368</v>
      </c>
      <c r="D20" s="4">
        <f t="shared" ref="D20:D22" si="4">3*B20^2-0.8*EXP(0.8*B20)</f>
        <v>-154.13022870409199</v>
      </c>
    </row>
    <row r="21" spans="1:6" x14ac:dyDescent="0.25">
      <c r="A21" s="4">
        <f t="shared" si="1"/>
        <v>3</v>
      </c>
      <c r="B21" s="4">
        <f t="shared" si="2"/>
        <v>7.4899192431523467</v>
      </c>
      <c r="C21" s="4">
        <f t="shared" si="3"/>
        <v>-1.2225567121504355E-2</v>
      </c>
      <c r="D21" s="4">
        <f t="shared" si="4"/>
        <v>-151.85403584274911</v>
      </c>
    </row>
    <row r="22" spans="1:6" x14ac:dyDescent="0.25">
      <c r="A22" s="7">
        <f t="shared" si="1"/>
        <v>4</v>
      </c>
      <c r="B22" s="7">
        <f t="shared" si="2"/>
        <v>7.4898387344779893</v>
      </c>
      <c r="C22" s="7">
        <f t="shared" si="3"/>
        <v>-6.8438282596616773E-7</v>
      </c>
      <c r="D22" s="7">
        <f t="shared" si="4"/>
        <v>-151.83703458094919</v>
      </c>
    </row>
  </sheetData>
  <mergeCells count="4">
    <mergeCell ref="A1:H1"/>
    <mergeCell ref="B3:H3"/>
    <mergeCell ref="B5:D5"/>
    <mergeCell ref="B6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Newton_Ej1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Genesis Jalid Tapia Cortez</cp:lastModifiedBy>
  <dcterms:created xsi:type="dcterms:W3CDTF">2025-11-30T16:09:39Z</dcterms:created>
  <dcterms:modified xsi:type="dcterms:W3CDTF">2025-11-30T17:19:40Z</dcterms:modified>
</cp:coreProperties>
</file>