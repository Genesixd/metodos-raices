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metodos-raices\"/>
    </mc:Choice>
  </mc:AlternateContent>
  <xr:revisionPtr revIDLastSave="0" documentId="13_ncr:1_{9394A1C7-D64A-4D2F-B2BE-557186F13940}" xr6:coauthVersionLast="47" xr6:coauthVersionMax="47" xr10:uidLastSave="{00000000-0000-0000-0000-000000000000}"/>
  <bookViews>
    <workbookView xWindow="-120" yWindow="-120" windowWidth="29040" windowHeight="15990" firstSheet="3" activeTab="11" xr2:uid="{00000000-000D-0000-FFFF-FFFF00000000}"/>
  </bookViews>
  <sheets>
    <sheet name="Biseccion_Ej1" sheetId="2" r:id="rId1"/>
    <sheet name="Newton_Ej1" sheetId="3" r:id="rId2"/>
    <sheet name="Secante_Ej1" sheetId="4" r:id="rId3"/>
    <sheet name="Biseccion_Ej2" sheetId="5" r:id="rId4"/>
    <sheet name="Newton_Ej2" sheetId="6" r:id="rId5"/>
    <sheet name="Secante_Ej2" sheetId="7" r:id="rId6"/>
    <sheet name="Biseccion_Ej3" sheetId="8" r:id="rId7"/>
    <sheet name="Newton_Ej3" sheetId="9" r:id="rId8"/>
    <sheet name="Secante_Ej3" sheetId="10" r:id="rId9"/>
    <sheet name="Biseccion_Ej4" sheetId="11" r:id="rId10"/>
    <sheet name="Newton_Ej4" sheetId="12" r:id="rId11"/>
    <sheet name="Secante_Ej4" sheetId="1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3" l="1"/>
  <c r="B24" i="13"/>
  <c r="A24" i="13"/>
  <c r="A25" i="13" s="1"/>
  <c r="A26" i="13" s="1"/>
  <c r="A27" i="13" s="1"/>
  <c r="A28" i="13" s="1"/>
  <c r="B23" i="13"/>
  <c r="C23" i="13" s="1"/>
  <c r="A23" i="13"/>
  <c r="A11" i="13"/>
  <c r="A12" i="13" s="1"/>
  <c r="B25" i="12"/>
  <c r="B24" i="12"/>
  <c r="B23" i="12"/>
  <c r="B22" i="12"/>
  <c r="B21" i="12"/>
  <c r="B20" i="12"/>
  <c r="B19" i="12"/>
  <c r="B13" i="12"/>
  <c r="D13" i="12" s="1"/>
  <c r="A13" i="12"/>
  <c r="A14" i="12" s="1"/>
  <c r="A15" i="12" s="1"/>
  <c r="A16" i="12" s="1"/>
  <c r="C23" i="11"/>
  <c r="F23" i="11" s="1"/>
  <c r="B23" i="11"/>
  <c r="E23" i="11" s="1"/>
  <c r="A23" i="1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13" i="11"/>
  <c r="A14" i="11" s="1"/>
  <c r="B25" i="13" l="1"/>
  <c r="A13" i="13"/>
  <c r="B12" i="13"/>
  <c r="B11" i="13"/>
  <c r="C13" i="12"/>
  <c r="B14" i="12"/>
  <c r="A15" i="11"/>
  <c r="B14" i="11"/>
  <c r="D23" i="11"/>
  <c r="G23" i="11" s="1"/>
  <c r="B24" i="11" s="1"/>
  <c r="B13" i="11"/>
  <c r="A14" i="13" l="1"/>
  <c r="B13" i="13"/>
  <c r="C25" i="13"/>
  <c r="B26" i="13" s="1"/>
  <c r="C14" i="12"/>
  <c r="B15" i="12" s="1"/>
  <c r="D14" i="12"/>
  <c r="E24" i="11"/>
  <c r="C24" i="11"/>
  <c r="F24" i="11" s="1"/>
  <c r="B15" i="11"/>
  <c r="A16" i="11"/>
  <c r="C26" i="13" l="1"/>
  <c r="B27" i="13" s="1"/>
  <c r="B14" i="13"/>
  <c r="A15" i="13"/>
  <c r="C15" i="12"/>
  <c r="B16" i="12" s="1"/>
  <c r="D15" i="12"/>
  <c r="A17" i="11"/>
  <c r="B16" i="11"/>
  <c r="D24" i="11"/>
  <c r="G24" i="11" s="1"/>
  <c r="C25" i="11" s="1"/>
  <c r="F25" i="11" s="1"/>
  <c r="C27" i="13" l="1"/>
  <c r="B28" i="13" s="1"/>
  <c r="C28" i="13" s="1"/>
  <c r="A16" i="13"/>
  <c r="B15" i="13"/>
  <c r="C16" i="12"/>
  <c r="D16" i="12"/>
  <c r="B25" i="11"/>
  <c r="A18" i="11"/>
  <c r="B17" i="11"/>
  <c r="A17" i="13" l="1"/>
  <c r="B17" i="13" s="1"/>
  <c r="B16" i="13"/>
  <c r="B18" i="11"/>
  <c r="A19" i="11"/>
  <c r="B19" i="11" s="1"/>
  <c r="E25" i="11"/>
  <c r="D25" i="11"/>
  <c r="G25" i="11" s="1"/>
  <c r="C26" i="11" s="1"/>
  <c r="F26" i="11" s="1"/>
  <c r="B26" i="11" l="1"/>
  <c r="D26" i="11" l="1"/>
  <c r="G26" i="11" s="1"/>
  <c r="C27" i="11" s="1"/>
  <c r="F27" i="11" s="1"/>
  <c r="E26" i="11"/>
  <c r="B27" i="11" s="1"/>
  <c r="E27" i="11" l="1"/>
  <c r="D27" i="11"/>
  <c r="G27" i="11" s="1"/>
  <c r="C28" i="11" s="1"/>
  <c r="F28" i="11" s="1"/>
  <c r="B28" i="11" l="1"/>
  <c r="E28" i="11" l="1"/>
  <c r="D28" i="11"/>
  <c r="G28" i="11" s="1"/>
  <c r="C29" i="11" s="1"/>
  <c r="F29" i="11" s="1"/>
  <c r="B29" i="11" l="1"/>
  <c r="E29" i="11" l="1"/>
  <c r="D29" i="11"/>
  <c r="G29" i="11" s="1"/>
  <c r="C30" i="11" s="1"/>
  <c r="F30" i="11" s="1"/>
  <c r="B30" i="11" l="1"/>
  <c r="D30" i="11" l="1"/>
  <c r="G30" i="11" s="1"/>
  <c r="C31" i="11" s="1"/>
  <c r="F31" i="11" s="1"/>
  <c r="E30" i="11"/>
  <c r="B31" i="11" s="1"/>
  <c r="D31" i="11" l="1"/>
  <c r="G31" i="11" s="1"/>
  <c r="C32" i="11" s="1"/>
  <c r="F32" i="11" s="1"/>
  <c r="E31" i="11"/>
  <c r="B32" i="11" l="1"/>
  <c r="E32" i="11" l="1"/>
  <c r="D32" i="11"/>
  <c r="G32" i="11" s="1"/>
  <c r="C33" i="11" s="1"/>
  <c r="F33" i="11" s="1"/>
  <c r="B33" i="11" l="1"/>
  <c r="E33" i="11" l="1"/>
  <c r="D33" i="11"/>
  <c r="G33" i="11" s="1"/>
  <c r="C34" i="11" s="1"/>
  <c r="F34" i="11" s="1"/>
  <c r="B34" i="11" l="1"/>
  <c r="D34" i="11" l="1"/>
  <c r="G34" i="11" s="1"/>
  <c r="C35" i="11" s="1"/>
  <c r="F35" i="11" s="1"/>
  <c r="E34" i="11"/>
  <c r="B35" i="11" s="1"/>
  <c r="J18" i="10"/>
  <c r="K18" i="10" s="1"/>
  <c r="I18" i="10"/>
  <c r="I19" i="10" s="1"/>
  <c r="I20" i="10" s="1"/>
  <c r="I21" i="10" s="1"/>
  <c r="I22" i="10" s="1"/>
  <c r="F18" i="10"/>
  <c r="G18" i="10" s="1"/>
  <c r="E18" i="10"/>
  <c r="E19" i="10" s="1"/>
  <c r="E20" i="10" s="1"/>
  <c r="E21" i="10" s="1"/>
  <c r="B18" i="10"/>
  <c r="C18" i="10" s="1"/>
  <c r="A18" i="10"/>
  <c r="A19" i="10" s="1"/>
  <c r="A20" i="10" s="1"/>
  <c r="A21" i="10" s="1"/>
  <c r="A22" i="10" s="1"/>
  <c r="A23" i="10" s="1"/>
  <c r="J17" i="10"/>
  <c r="K17" i="10" s="1"/>
  <c r="I17" i="10"/>
  <c r="F17" i="10"/>
  <c r="G17" i="10" s="1"/>
  <c r="E17" i="10"/>
  <c r="B17" i="10"/>
  <c r="C17" i="10" s="1"/>
  <c r="A17" i="10"/>
  <c r="A10" i="10"/>
  <c r="A11" i="10" s="1"/>
  <c r="A19" i="9"/>
  <c r="A20" i="9" s="1"/>
  <c r="I12" i="9"/>
  <c r="I13" i="9" s="1"/>
  <c r="E12" i="9"/>
  <c r="E13" i="9" s="1"/>
  <c r="A12" i="9"/>
  <c r="A13" i="9" s="1"/>
  <c r="L11" i="9"/>
  <c r="K11" i="9"/>
  <c r="J12" i="9" s="1"/>
  <c r="J11" i="9"/>
  <c r="I11" i="9"/>
  <c r="F11" i="9"/>
  <c r="H11" i="9" s="1"/>
  <c r="E11" i="9"/>
  <c r="B11" i="9"/>
  <c r="D11" i="9" s="1"/>
  <c r="A11" i="9"/>
  <c r="C48" i="8"/>
  <c r="F48" i="8" s="1"/>
  <c r="B48" i="8"/>
  <c r="E48" i="8" s="1"/>
  <c r="A48" i="8"/>
  <c r="A49" i="8" s="1"/>
  <c r="A50" i="8" s="1"/>
  <c r="A51" i="8" s="1"/>
  <c r="A52" i="8" s="1"/>
  <c r="A53" i="8" s="1"/>
  <c r="A54" i="8" s="1"/>
  <c r="A55" i="8" s="1"/>
  <c r="A56" i="8" s="1"/>
  <c r="C37" i="8"/>
  <c r="F37" i="8" s="1"/>
  <c r="B37" i="8"/>
  <c r="E37" i="8" s="1"/>
  <c r="A37" i="8"/>
  <c r="A38" i="8" s="1"/>
  <c r="A39" i="8" s="1"/>
  <c r="A40" i="8" s="1"/>
  <c r="A41" i="8" s="1"/>
  <c r="A42" i="8" s="1"/>
  <c r="A43" i="8" s="1"/>
  <c r="A29" i="8"/>
  <c r="A30" i="8" s="1"/>
  <c r="A31" i="8" s="1"/>
  <c r="A32" i="8" s="1"/>
  <c r="F28" i="8"/>
  <c r="E28" i="8"/>
  <c r="D28" i="8"/>
  <c r="G28" i="8" s="1"/>
  <c r="C28" i="8"/>
  <c r="B28" i="8"/>
  <c r="A28" i="8"/>
  <c r="A14" i="8"/>
  <c r="A15" i="8" s="1"/>
  <c r="B13" i="8"/>
  <c r="A13" i="8"/>
  <c r="D35" i="11" l="1"/>
  <c r="G35" i="11" s="1"/>
  <c r="E35" i="11"/>
  <c r="B36" i="11" s="1"/>
  <c r="C36" i="11"/>
  <c r="F36" i="11" s="1"/>
  <c r="A12" i="10"/>
  <c r="B11" i="10"/>
  <c r="B19" i="10"/>
  <c r="B10" i="10"/>
  <c r="F19" i="10"/>
  <c r="J19" i="10"/>
  <c r="L12" i="9"/>
  <c r="K12" i="9"/>
  <c r="J13" i="9" s="1"/>
  <c r="B20" i="9"/>
  <c r="A21" i="9"/>
  <c r="B19" i="9"/>
  <c r="C11" i="9"/>
  <c r="B12" i="9" s="1"/>
  <c r="G11" i="9"/>
  <c r="F12" i="9" s="1"/>
  <c r="B15" i="8"/>
  <c r="A16" i="8"/>
  <c r="C29" i="8"/>
  <c r="F29" i="8" s="1"/>
  <c r="B29" i="8"/>
  <c r="D48" i="8"/>
  <c r="G48" i="8" s="1"/>
  <c r="C49" i="8" s="1"/>
  <c r="F49" i="8" s="1"/>
  <c r="B14" i="8"/>
  <c r="D37" i="8"/>
  <c r="G37" i="8" s="1"/>
  <c r="C38" i="8" s="1"/>
  <c r="F38" i="8" s="1"/>
  <c r="D36" i="11" l="1"/>
  <c r="G36" i="11" s="1"/>
  <c r="C37" i="11" s="1"/>
  <c r="F37" i="11" s="1"/>
  <c r="E36" i="11"/>
  <c r="C19" i="10"/>
  <c r="B20" i="10" s="1"/>
  <c r="A13" i="10"/>
  <c r="B12" i="10"/>
  <c r="K19" i="10"/>
  <c r="J20" i="10" s="1"/>
  <c r="G19" i="10"/>
  <c r="F20" i="10"/>
  <c r="K13" i="9"/>
  <c r="L13" i="9"/>
  <c r="H12" i="9"/>
  <c r="G12" i="9"/>
  <c r="F13" i="9" s="1"/>
  <c r="B21" i="9"/>
  <c r="A22" i="9"/>
  <c r="D12" i="9"/>
  <c r="C12" i="9"/>
  <c r="B13" i="9" s="1"/>
  <c r="D29" i="8"/>
  <c r="G29" i="8" s="1"/>
  <c r="E29" i="8"/>
  <c r="B49" i="8"/>
  <c r="B38" i="8"/>
  <c r="A17" i="8"/>
  <c r="B16" i="8"/>
  <c r="B37" i="11" l="1"/>
  <c r="K20" i="10"/>
  <c r="J21" i="10"/>
  <c r="C20" i="10"/>
  <c r="B21" i="10"/>
  <c r="G20" i="10"/>
  <c r="F21" i="10" s="1"/>
  <c r="G21" i="10" s="1"/>
  <c r="B13" i="10"/>
  <c r="A14" i="10"/>
  <c r="B14" i="10" s="1"/>
  <c r="D13" i="9"/>
  <c r="C13" i="9"/>
  <c r="H13" i="9"/>
  <c r="G13" i="9"/>
  <c r="B22" i="9"/>
  <c r="A23" i="9"/>
  <c r="B17" i="8"/>
  <c r="A18" i="8"/>
  <c r="D38" i="8"/>
  <c r="G38" i="8" s="1"/>
  <c r="E38" i="8"/>
  <c r="E49" i="8"/>
  <c r="D49" i="8"/>
  <c r="G49" i="8" s="1"/>
  <c r="C30" i="8"/>
  <c r="F30" i="8" s="1"/>
  <c r="B30" i="8"/>
  <c r="E37" i="11" l="1"/>
  <c r="B38" i="11" s="1"/>
  <c r="D37" i="11"/>
  <c r="G37" i="11" s="1"/>
  <c r="C38" i="11" s="1"/>
  <c r="F38" i="11" s="1"/>
  <c r="C21" i="10"/>
  <c r="B22" i="10" s="1"/>
  <c r="K21" i="10"/>
  <c r="J22" i="10" s="1"/>
  <c r="K22" i="10" s="1"/>
  <c r="B23" i="9"/>
  <c r="A24" i="9"/>
  <c r="E30" i="8"/>
  <c r="D30" i="8"/>
  <c r="G30" i="8" s="1"/>
  <c r="C50" i="8"/>
  <c r="F50" i="8" s="1"/>
  <c r="B50" i="8"/>
  <c r="B39" i="8"/>
  <c r="C39" i="8"/>
  <c r="F39" i="8" s="1"/>
  <c r="A19" i="8"/>
  <c r="B18" i="8"/>
  <c r="E38" i="11" l="1"/>
  <c r="D38" i="11"/>
  <c r="G38" i="11" s="1"/>
  <c r="C22" i="10"/>
  <c r="B23" i="10" s="1"/>
  <c r="C23" i="10" s="1"/>
  <c r="A25" i="9"/>
  <c r="B24" i="9"/>
  <c r="A20" i="8"/>
  <c r="B19" i="8"/>
  <c r="E39" i="8"/>
  <c r="D39" i="8"/>
  <c r="G39" i="8" s="1"/>
  <c r="D50" i="8"/>
  <c r="G50" i="8" s="1"/>
  <c r="E50" i="8"/>
  <c r="C31" i="8"/>
  <c r="F31" i="8" s="1"/>
  <c r="B31" i="8"/>
  <c r="A26" i="9" l="1"/>
  <c r="B25" i="9"/>
  <c r="B20" i="8"/>
  <c r="A21" i="8"/>
  <c r="E31" i="8"/>
  <c r="D31" i="8"/>
  <c r="G31" i="8" s="1"/>
  <c r="B40" i="8"/>
  <c r="C40" i="8"/>
  <c r="F40" i="8" s="1"/>
  <c r="B51" i="8"/>
  <c r="C51" i="8"/>
  <c r="F51" i="8" s="1"/>
  <c r="A27" i="9" l="1"/>
  <c r="B26" i="9"/>
  <c r="D51" i="8"/>
  <c r="G51" i="8" s="1"/>
  <c r="E51" i="8"/>
  <c r="D40" i="8"/>
  <c r="G40" i="8" s="1"/>
  <c r="E40" i="8"/>
  <c r="B32" i="8"/>
  <c r="C32" i="8"/>
  <c r="F32" i="8" s="1"/>
  <c r="B21" i="8"/>
  <c r="A22" i="8"/>
  <c r="A28" i="9" l="1"/>
  <c r="B27" i="9"/>
  <c r="B22" i="8"/>
  <c r="A23" i="8"/>
  <c r="B23" i="8" s="1"/>
  <c r="E32" i="8"/>
  <c r="D32" i="8"/>
  <c r="G32" i="8" s="1"/>
  <c r="B41" i="8"/>
  <c r="C41" i="8"/>
  <c r="F41" i="8" s="1"/>
  <c r="C52" i="8"/>
  <c r="F52" i="8" s="1"/>
  <c r="B52" i="8"/>
  <c r="A29" i="9" l="1"/>
  <c r="B29" i="9" s="1"/>
  <c r="B28" i="9"/>
  <c r="E52" i="8"/>
  <c r="D52" i="8"/>
  <c r="G52" i="8" s="1"/>
  <c r="E41" i="8"/>
  <c r="D41" i="8"/>
  <c r="G41" i="8" s="1"/>
  <c r="C42" i="8" l="1"/>
  <c r="F42" i="8" s="1"/>
  <c r="B42" i="8"/>
  <c r="C53" i="8"/>
  <c r="F53" i="8" s="1"/>
  <c r="B53" i="8"/>
  <c r="D53" i="8" l="1"/>
  <c r="G53" i="8" s="1"/>
  <c r="E53" i="8"/>
  <c r="E42" i="8"/>
  <c r="D42" i="8"/>
  <c r="G42" i="8" s="1"/>
  <c r="B43" i="8" l="1"/>
  <c r="C43" i="8"/>
  <c r="F43" i="8" s="1"/>
  <c r="C54" i="8"/>
  <c r="F54" i="8" s="1"/>
  <c r="B54" i="8"/>
  <c r="E54" i="8" l="1"/>
  <c r="D54" i="8"/>
  <c r="G54" i="8" s="1"/>
  <c r="D43" i="8"/>
  <c r="G43" i="8" s="1"/>
  <c r="E43" i="8"/>
  <c r="B55" i="8" l="1"/>
  <c r="C55" i="8"/>
  <c r="F55" i="8" s="1"/>
  <c r="E55" i="8" l="1"/>
  <c r="D55" i="8"/>
  <c r="G55" i="8" s="1"/>
  <c r="C56" i="8" l="1"/>
  <c r="F56" i="8" s="1"/>
  <c r="B56" i="8"/>
  <c r="E56" i="8" l="1"/>
  <c r="D56" i="8"/>
  <c r="G56" i="8" s="1"/>
  <c r="B19" i="7" l="1"/>
  <c r="A19" i="7"/>
  <c r="A20" i="7" s="1"/>
  <c r="A21" i="7" s="1"/>
  <c r="A22" i="7" s="1"/>
  <c r="B18" i="7"/>
  <c r="C18" i="7" s="1"/>
  <c r="A18" i="7"/>
  <c r="B15" i="7"/>
  <c r="B14" i="7"/>
  <c r="B13" i="7"/>
  <c r="B12" i="7"/>
  <c r="A10" i="7"/>
  <c r="A11" i="7" s="1"/>
  <c r="B11" i="7" s="1"/>
  <c r="F14" i="6"/>
  <c r="F15" i="6" s="1"/>
  <c r="F13" i="6"/>
  <c r="G13" i="6" s="1"/>
  <c r="B13" i="6"/>
  <c r="D13" i="6" s="1"/>
  <c r="A13" i="6"/>
  <c r="A14" i="6" s="1"/>
  <c r="A15" i="6" s="1"/>
  <c r="A16" i="6" s="1"/>
  <c r="E18" i="5"/>
  <c r="H18" i="5" s="1"/>
  <c r="D18" i="5"/>
  <c r="G18" i="5" s="1"/>
  <c r="C18" i="5"/>
  <c r="C19" i="5" s="1"/>
  <c r="C20" i="5" s="1"/>
  <c r="C21" i="5" s="1"/>
  <c r="C22" i="5" s="1"/>
  <c r="C23" i="5" s="1"/>
  <c r="C24" i="5" s="1"/>
  <c r="C25" i="5" s="1"/>
  <c r="A17" i="5"/>
  <c r="B17" i="5" s="1"/>
  <c r="A16" i="5"/>
  <c r="B16" i="5" s="1"/>
  <c r="B10" i="7" l="1"/>
  <c r="C19" i="7"/>
  <c r="B20" i="7" s="1"/>
  <c r="F16" i="6"/>
  <c r="G15" i="6"/>
  <c r="G14" i="6"/>
  <c r="C13" i="6"/>
  <c r="B14" i="6"/>
  <c r="E19" i="5"/>
  <c r="H19" i="5" s="1"/>
  <c r="A18" i="5"/>
  <c r="F18" i="5"/>
  <c r="I18" i="5" s="1"/>
  <c r="D19" i="5" s="1"/>
  <c r="C20" i="7" l="1"/>
  <c r="B21" i="7" s="1"/>
  <c r="F17" i="6"/>
  <c r="G16" i="6"/>
  <c r="D14" i="6"/>
  <c r="C14" i="6"/>
  <c r="B15" i="6" s="1"/>
  <c r="G19" i="5"/>
  <c r="F19" i="5"/>
  <c r="I19" i="5" s="1"/>
  <c r="A19" i="5"/>
  <c r="B18" i="5"/>
  <c r="C21" i="7" l="1"/>
  <c r="B22" i="7" s="1"/>
  <c r="C22" i="7" s="1"/>
  <c r="D15" i="6"/>
  <c r="C15" i="6"/>
  <c r="B16" i="6" s="1"/>
  <c r="F18" i="6"/>
  <c r="G17" i="6"/>
  <c r="D20" i="5"/>
  <c r="E20" i="5"/>
  <c r="H20" i="5" s="1"/>
  <c r="A20" i="5"/>
  <c r="B19" i="5"/>
  <c r="C16" i="6" l="1"/>
  <c r="D16" i="6"/>
  <c r="G18" i="6"/>
  <c r="F19" i="6"/>
  <c r="G20" i="5"/>
  <c r="F20" i="5"/>
  <c r="I20" i="5" s="1"/>
  <c r="A21" i="5"/>
  <c r="B20" i="5"/>
  <c r="F20" i="6" l="1"/>
  <c r="G19" i="6"/>
  <c r="E21" i="5"/>
  <c r="H21" i="5" s="1"/>
  <c r="D21" i="5"/>
  <c r="A22" i="5"/>
  <c r="B21" i="5"/>
  <c r="F21" i="6" l="1"/>
  <c r="G21" i="6" s="1"/>
  <c r="G20" i="6"/>
  <c r="A23" i="5"/>
  <c r="B22" i="5"/>
  <c r="F21" i="5"/>
  <c r="I21" i="5" s="1"/>
  <c r="G21" i="5"/>
  <c r="A24" i="5" l="1"/>
  <c r="B24" i="5" s="1"/>
  <c r="B23" i="5"/>
  <c r="E22" i="5"/>
  <c r="H22" i="5" s="1"/>
  <c r="D22" i="5"/>
  <c r="G22" i="5" l="1"/>
  <c r="F22" i="5"/>
  <c r="I22" i="5" s="1"/>
  <c r="D23" i="5" l="1"/>
  <c r="E23" i="5"/>
  <c r="H23" i="5" s="1"/>
  <c r="F23" i="5" l="1"/>
  <c r="I23" i="5" s="1"/>
  <c r="G23" i="5"/>
  <c r="D24" i="5" l="1"/>
  <c r="E24" i="5"/>
  <c r="H24" i="5" s="1"/>
  <c r="F24" i="5" l="1"/>
  <c r="I24" i="5" s="1"/>
  <c r="G24" i="5"/>
  <c r="E25" i="5" l="1"/>
  <c r="H25" i="5" s="1"/>
  <c r="D25" i="5"/>
  <c r="F20" i="4"/>
  <c r="E20" i="4"/>
  <c r="E21" i="4" s="1"/>
  <c r="E22" i="4" s="1"/>
  <c r="E23" i="4" s="1"/>
  <c r="E24" i="4" s="1"/>
  <c r="E25" i="4" s="1"/>
  <c r="E26" i="4" s="1"/>
  <c r="B20" i="4"/>
  <c r="A20" i="4"/>
  <c r="A21" i="4" s="1"/>
  <c r="A22" i="4" s="1"/>
  <c r="A23" i="4" s="1"/>
  <c r="A24" i="4" s="1"/>
  <c r="F19" i="4"/>
  <c r="G19" i="4" s="1"/>
  <c r="E19" i="4"/>
  <c r="B19" i="4"/>
  <c r="C19" i="4" s="1"/>
  <c r="A19" i="4"/>
  <c r="B16" i="4"/>
  <c r="B15" i="4"/>
  <c r="B14" i="4"/>
  <c r="B13" i="4"/>
  <c r="B12" i="4"/>
  <c r="B11" i="4"/>
  <c r="B10" i="4"/>
  <c r="B10" i="3"/>
  <c r="C10" i="3" s="1"/>
  <c r="F10" i="3"/>
  <c r="A11" i="3"/>
  <c r="F11" i="3"/>
  <c r="A12" i="3"/>
  <c r="F12" i="3"/>
  <c r="A13" i="3"/>
  <c r="F13" i="3"/>
  <c r="F14" i="3"/>
  <c r="F15" i="3"/>
  <c r="F16" i="3"/>
  <c r="F17" i="3"/>
  <c r="A18" i="3"/>
  <c r="A19" i="3" s="1"/>
  <c r="A20" i="3" s="1"/>
  <c r="A21" i="3" s="1"/>
  <c r="A22" i="3" s="1"/>
  <c r="B18" i="3"/>
  <c r="C18" i="3" s="1"/>
  <c r="F18" i="3"/>
  <c r="I20" i="2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K19" i="2"/>
  <c r="N19" i="2" s="1"/>
  <c r="J19" i="2"/>
  <c r="M19" i="2" s="1"/>
  <c r="I19" i="2"/>
  <c r="C19" i="2"/>
  <c r="F19" i="2" s="1"/>
  <c r="B19" i="2"/>
  <c r="E19" i="2" s="1"/>
  <c r="A19" i="2"/>
  <c r="A20" i="2" s="1"/>
  <c r="A21" i="2" s="1"/>
  <c r="A22" i="2" s="1"/>
  <c r="A23" i="2" s="1"/>
  <c r="A24" i="2" s="1"/>
  <c r="A25" i="2" s="1"/>
  <c r="A26" i="2" s="1"/>
  <c r="A27" i="2" s="1"/>
  <c r="A28" i="2" s="1"/>
  <c r="A10" i="2"/>
  <c r="B10" i="2" s="1"/>
  <c r="G25" i="5" l="1"/>
  <c r="F25" i="5"/>
  <c r="I25" i="5" s="1"/>
  <c r="C20" i="4"/>
  <c r="B21" i="4" s="1"/>
  <c r="G20" i="4"/>
  <c r="F21" i="4" s="1"/>
  <c r="D18" i="3"/>
  <c r="B19" i="3" s="1"/>
  <c r="D10" i="3"/>
  <c r="B11" i="3" s="1"/>
  <c r="D19" i="2"/>
  <c r="G19" i="2" s="1"/>
  <c r="C20" i="2" s="1"/>
  <c r="F20" i="2" s="1"/>
  <c r="L19" i="2"/>
  <c r="O19" i="2" s="1"/>
  <c r="J20" i="2" s="1"/>
  <c r="A11" i="2"/>
  <c r="G21" i="4" l="1"/>
  <c r="F22" i="4"/>
  <c r="C21" i="4"/>
  <c r="B22" i="4"/>
  <c r="C11" i="3"/>
  <c r="D11" i="3"/>
  <c r="B12" i="3"/>
  <c r="D19" i="3"/>
  <c r="C19" i="3"/>
  <c r="B20" i="3"/>
  <c r="M20" i="2"/>
  <c r="A12" i="2"/>
  <c r="B11" i="2"/>
  <c r="B20" i="2"/>
  <c r="K20" i="2"/>
  <c r="N20" i="2" s="1"/>
  <c r="C22" i="4" l="1"/>
  <c r="B23" i="4" s="1"/>
  <c r="G22" i="4"/>
  <c r="F23" i="4"/>
  <c r="C20" i="3"/>
  <c r="B21" i="3" s="1"/>
  <c r="D20" i="3"/>
  <c r="C12" i="3"/>
  <c r="B13" i="3" s="1"/>
  <c r="D12" i="3"/>
  <c r="D20" i="2"/>
  <c r="G20" i="2" s="1"/>
  <c r="E20" i="2"/>
  <c r="A13" i="2"/>
  <c r="B12" i="2"/>
  <c r="L20" i="2"/>
  <c r="O20" i="2" s="1"/>
  <c r="K21" i="2" s="1"/>
  <c r="N21" i="2" s="1"/>
  <c r="C23" i="4" l="1"/>
  <c r="B24" i="4" s="1"/>
  <c r="C24" i="4" s="1"/>
  <c r="G23" i="4"/>
  <c r="F24" i="4" s="1"/>
  <c r="C13" i="3"/>
  <c r="D13" i="3"/>
  <c r="D21" i="3"/>
  <c r="C21" i="3"/>
  <c r="B22" i="3" s="1"/>
  <c r="B13" i="2"/>
  <c r="A14" i="2"/>
  <c r="J21" i="2"/>
  <c r="B21" i="2"/>
  <c r="C21" i="2"/>
  <c r="F21" i="2" s="1"/>
  <c r="G24" i="4" l="1"/>
  <c r="F25" i="4"/>
  <c r="C22" i="3"/>
  <c r="D22" i="3"/>
  <c r="E21" i="2"/>
  <c r="D21" i="2"/>
  <c r="G21" i="2" s="1"/>
  <c r="M21" i="2"/>
  <c r="L21" i="2"/>
  <c r="O21" i="2" s="1"/>
  <c r="A15" i="2"/>
  <c r="B14" i="2"/>
  <c r="G25" i="4" l="1"/>
  <c r="F26" i="4" s="1"/>
  <c r="G26" i="4" s="1"/>
  <c r="B15" i="2"/>
  <c r="A16" i="2"/>
  <c r="B16" i="2" s="1"/>
  <c r="K22" i="2"/>
  <c r="N22" i="2" s="1"/>
  <c r="J22" i="2"/>
  <c r="B22" i="2"/>
  <c r="C22" i="2"/>
  <c r="F22" i="2" s="1"/>
  <c r="E22" i="2" l="1"/>
  <c r="D22" i="2"/>
  <c r="G22" i="2" s="1"/>
  <c r="L22" i="2"/>
  <c r="O22" i="2" s="1"/>
  <c r="M22" i="2"/>
  <c r="C23" i="2" l="1"/>
  <c r="F23" i="2" s="1"/>
  <c r="B23" i="2"/>
  <c r="J23" i="2"/>
  <c r="K23" i="2"/>
  <c r="N23" i="2" s="1"/>
  <c r="M23" i="2" l="1"/>
  <c r="L23" i="2"/>
  <c r="O23" i="2" s="1"/>
  <c r="D23" i="2"/>
  <c r="G23" i="2" s="1"/>
  <c r="E23" i="2"/>
  <c r="C24" i="2" l="1"/>
  <c r="F24" i="2" s="1"/>
  <c r="B24" i="2"/>
  <c r="K24" i="2"/>
  <c r="N24" i="2" s="1"/>
  <c r="J24" i="2"/>
  <c r="E24" i="2" l="1"/>
  <c r="D24" i="2"/>
  <c r="G24" i="2" s="1"/>
  <c r="M24" i="2"/>
  <c r="L24" i="2"/>
  <c r="O24" i="2" s="1"/>
  <c r="J25" i="2" l="1"/>
  <c r="K25" i="2"/>
  <c r="N25" i="2" s="1"/>
  <c r="C25" i="2"/>
  <c r="F25" i="2" s="1"/>
  <c r="B25" i="2"/>
  <c r="E25" i="2" l="1"/>
  <c r="D25" i="2"/>
  <c r="G25" i="2" s="1"/>
  <c r="L25" i="2"/>
  <c r="O25" i="2" s="1"/>
  <c r="M25" i="2"/>
  <c r="J26" i="2" l="1"/>
  <c r="K26" i="2"/>
  <c r="N26" i="2" s="1"/>
  <c r="B26" i="2"/>
  <c r="C26" i="2"/>
  <c r="F26" i="2" s="1"/>
  <c r="D26" i="2" l="1"/>
  <c r="G26" i="2" s="1"/>
  <c r="E26" i="2"/>
  <c r="M26" i="2"/>
  <c r="L26" i="2"/>
  <c r="O26" i="2" s="1"/>
  <c r="B27" i="2" l="1"/>
  <c r="C27" i="2"/>
  <c r="F27" i="2" s="1"/>
  <c r="K27" i="2"/>
  <c r="N27" i="2" s="1"/>
  <c r="J27" i="2"/>
  <c r="L27" i="2" l="1"/>
  <c r="O27" i="2" s="1"/>
  <c r="M27" i="2"/>
  <c r="E27" i="2"/>
  <c r="D27" i="2"/>
  <c r="G27" i="2" s="1"/>
  <c r="B28" i="2" l="1"/>
  <c r="C28" i="2"/>
  <c r="F28" i="2" s="1"/>
  <c r="K28" i="2"/>
  <c r="N28" i="2" s="1"/>
  <c r="J28" i="2"/>
  <c r="L28" i="2" l="1"/>
  <c r="O28" i="2" s="1"/>
  <c r="M28" i="2"/>
  <c r="E28" i="2"/>
  <c r="D28" i="2"/>
  <c r="G28" i="2" s="1"/>
  <c r="K29" i="2" l="1"/>
  <c r="N29" i="2" s="1"/>
  <c r="J29" i="2"/>
  <c r="M29" i="2" l="1"/>
  <c r="L29" i="2"/>
  <c r="O29" i="2" s="1"/>
  <c r="J30" i="2" l="1"/>
  <c r="K30" i="2"/>
  <c r="N30" i="2" s="1"/>
  <c r="M30" i="2" l="1"/>
  <c r="L30" i="2"/>
  <c r="O30" i="2" s="1"/>
  <c r="K31" i="2" l="1"/>
  <c r="N31" i="2" s="1"/>
  <c r="J31" i="2"/>
  <c r="M31" i="2" l="1"/>
  <c r="L31" i="2"/>
  <c r="O31" i="2" s="1"/>
</calcChain>
</file>

<file path=xl/sharedStrings.xml><?xml version="1.0" encoding="utf-8"?>
<sst xmlns="http://schemas.openxmlformats.org/spreadsheetml/2006/main" count="282" uniqueCount="97">
  <si>
    <t>RAÍCES → MÉTODO DE BISECCIÓN</t>
  </si>
  <si>
    <t>Ejercicio:</t>
  </si>
  <si>
    <t>Determinar las dos soluciones de la ecuación x^3 − e^{0.8x} = 20 en 0 ≤ x ≤ 8.</t>
  </si>
  <si>
    <t>Función para el método de raíces:</t>
  </si>
  <si>
    <t>f(x) = x^3 − e^{0.8x} − 20</t>
  </si>
  <si>
    <t>Tabla de exploración (para la gráfica)</t>
  </si>
  <si>
    <t>x</t>
  </si>
  <si>
    <t>f(x)</t>
  </si>
  <si>
    <t>El cambio de signo entre 3 y 4 indica una raíz.</t>
  </si>
  <si>
    <t>Tolerancia (criterio)</t>
  </si>
  <si>
    <t>tol = 0.005</t>
  </si>
  <si>
    <t>El cambio de signo entre 7 y 8 indica otra raíz.</t>
  </si>
  <si>
    <t>Condición:</t>
  </si>
  <si>
    <t>|f(m)| ≤ tol</t>
  </si>
  <si>
    <t>Raíz 1 (intervalo 3–4)</t>
  </si>
  <si>
    <t>Raíz 2 (intervalo 7–8)</t>
  </si>
  <si>
    <t>#</t>
  </si>
  <si>
    <t>a</t>
  </si>
  <si>
    <t>b</t>
  </si>
  <si>
    <t>m</t>
  </si>
  <si>
    <t>f(a)</t>
  </si>
  <si>
    <t>f(b)</t>
  </si>
  <si>
    <t>f(m)</t>
  </si>
  <si>
    <t>RAÍZ</t>
  </si>
  <si>
    <t>f'(x_i)</t>
  </si>
  <si>
    <t>f(x_i)</t>
  </si>
  <si>
    <t>x_i</t>
  </si>
  <si>
    <t>Raíz 2 (x0 = 8)</t>
  </si>
  <si>
    <t>Raíz 1 (x0 = 3)</t>
  </si>
  <si>
    <t>Condición: |f(x_i)| ≤ tol</t>
  </si>
  <si>
    <t>f'(x) = 3x^2 − 0.8 e^{0.8x}</t>
  </si>
  <si>
    <t>Derivada:</t>
  </si>
  <si>
    <t>tol = 0.00005</t>
  </si>
  <si>
    <t>Función:</t>
  </si>
  <si>
    <t>RAÍCES → MÉTODO DE NEWTON - RAPHSON</t>
  </si>
  <si>
    <t>RAÍCES → MÉTODO DE LA SECANTE</t>
  </si>
  <si>
    <t>Tolerancia</t>
  </si>
  <si>
    <t>|f(x_i)| ≤ tol</t>
  </si>
  <si>
    <t>Fórmula del método de la secante:</t>
  </si>
  <si>
    <t>x_{i+1} = x_i − f(x_i) (x_{i−1} − x_i) / ( f(x_{i−1}) − f(x_i) )</t>
  </si>
  <si>
    <t>RAICES -&gt; BISECCION</t>
  </si>
  <si>
    <t>Ejercicio 2</t>
  </si>
  <si>
    <t>3 sen(0,5x) - 0,5x + 2 = 0</t>
  </si>
  <si>
    <t>Si f(a)*f(m) &lt; 0</t>
  </si>
  <si>
    <t xml:space="preserve">  =&gt; b = m_anterior</t>
  </si>
  <si>
    <t xml:space="preserve">  =&gt; a = a_anterior</t>
  </si>
  <si>
    <t>Si f(b)*f(m) &lt; 0</t>
  </si>
  <si>
    <t xml:space="preserve">  =&gt; a = m_anterior</t>
  </si>
  <si>
    <t xml:space="preserve">  =&gt; b = b_anterior</t>
  </si>
  <si>
    <t>y</t>
  </si>
  <si>
    <t>tol</t>
  </si>
  <si>
    <t>RAIZ</t>
  </si>
  <si>
    <t>Ejercicio 2:</t>
  </si>
  <si>
    <t>Determinar la solución de la ecuación 3·sen(0,5x) − 0,5x + 2 = 0.</t>
  </si>
  <si>
    <t>f(x) = 3·sen(0,5x) − 0,5x + 2</t>
  </si>
  <si>
    <t>f'(x) = 1,5·cos(0,5x) − 0,5</t>
  </si>
  <si>
    <t>Determinar la solución de la ecuación 3 sin(0,5 x) − 0,5 x + 2 = 0.</t>
  </si>
  <si>
    <t>Función para el método:</t>
  </si>
  <si>
    <t>El cambio de signo entre 5 y 6 indica una raíz.</t>
  </si>
  <si>
    <t>Raíz (intervalo 5–6)</t>
  </si>
  <si>
    <t>x_{i+1} = x_i − f(x_i)(x_{i-1} − x_i) / ( f(x_{i-1}) − f(x_i) )</t>
  </si>
  <si>
    <t>RAICES → BISECCION</t>
  </si>
  <si>
    <t>Ejercicio 3:</t>
  </si>
  <si>
    <t>Determinar las tres raíces de la ecuación x^3 − x^2·e^{−0,5x} − 3x = −1.</t>
  </si>
  <si>
    <t>f(x) = x^3 − x^2·e^{−0,5x} − 3x + 1</t>
  </si>
  <si>
    <t>Condición: |f(m)| ≤ tol</t>
  </si>
  <si>
    <t>Regla del método de bisección:</t>
  </si>
  <si>
    <t>Si f(a)*f(m) &lt; 0  →  b = m_anterior</t>
  </si>
  <si>
    <t>Si f(b)*f(m) &lt; 0  →  a = m_anterior</t>
  </si>
  <si>
    <t>Los cambios de signo ayudan a elegir los intervalos de las raíces.</t>
  </si>
  <si>
    <t>Raíz 1 (intervalo -1,5 a -1)</t>
  </si>
  <si>
    <t>Raíz 2 (intervalo 0 a 0,5)</t>
  </si>
  <si>
    <t>Raíz 3 (intervalo 1,5 a 2)</t>
  </si>
  <si>
    <t>f'(x) = 3x² + (0,5x² − 2x)e^{−0,5x} − 3</t>
  </si>
  <si>
    <t>Raíz 1 (x₀ ≈ -1,2)</t>
  </si>
  <si>
    <t>Raíz 2 (x₀ ≈ 0,3)</t>
  </si>
  <si>
    <t>Raíz 3 (x₀ ≈ 1,8)</t>
  </si>
  <si>
    <t>Los cambios de signo indican tres raíces aproximadas.</t>
  </si>
  <si>
    <t>Raíz 1 (intervalo −1,5 a −1)</t>
  </si>
  <si>
    <t>Ejercicio 4:</t>
  </si>
  <si>
    <t>Determinar las raíces positivas de la ecuación cos^2(x) – 0,5 x·e^{0,3x} + 5 = 0.</t>
  </si>
  <si>
    <t>f(x) = cos^2(x) – 0,5 x·e^{0,3x} + 5</t>
  </si>
  <si>
    <t>Si f(a)*f(m) &lt; 0 → b = m_anterior</t>
  </si>
  <si>
    <t>Si f(b)*f(m) &lt; 0 → a = m_anterior</t>
  </si>
  <si>
    <t>El cambio de signo entre 3 y 4 indica una única raíz positiva.</t>
  </si>
  <si>
    <t>Raíz en el intervalo [3, 4]</t>
  </si>
  <si>
    <t>Fórmula del método de bisección:</t>
  </si>
  <si>
    <t>m = (a + b)/2, luego se elige el nuevo intervalo [a, m] o [m, b] según el signo.</t>
  </si>
  <si>
    <t>f'(x) = -sen(2x) – e^{0,3x}(0,5 + 0,15x)</t>
  </si>
  <si>
    <t>| f(x_i) | ≤ tol</t>
  </si>
  <si>
    <t>0,00005</t>
  </si>
  <si>
    <t>Fórmula del método de Newton - Raphson:</t>
  </si>
  <si>
    <t>x_{i+1} = x_i − f(x_i) / f'(x_i)</t>
  </si>
  <si>
    <t>El cambio de signo entre 3 y 4 indica una raíz positiva.</t>
  </si>
  <si>
    <t>Tolerancia (crit):</t>
  </si>
  <si>
    <t>Raíz (intervalo 3–4)</t>
  </si>
  <si>
    <t>x_{i+1} = x_i − f(x_i)(x_{i−1} − x_i) / ( f(x_{i−1}) − f(x_i)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</si>
</sst>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CBA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2" borderId="4" xfId="0" applyFont="1" applyFill="1" applyBorder="1" applyAlignment="1">
      <alignment horizontal="center"/>
    </xf>
    <xf numFmtId="0" fontId="0" fillId="6" borderId="4" xfId="0" applyFill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0" fillId="8" borderId="1" xfId="0" applyFill="1" applyBorder="1"/>
    <xf numFmtId="0" fontId="0" fillId="0" borderId="4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Biseccion_Ej1!$A$10:$A$16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Biseccion_Ej1!$B$10:$B$16</c:f>
              <c:numCache>
                <c:formatCode>General</c:formatCode>
                <c:ptCount val="7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92-4208-AACB-EFE39F92E823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Biseccion_Ej1!$D$28</c:f>
              <c:numCache>
                <c:formatCode>General</c:formatCode>
                <c:ptCount val="1"/>
                <c:pt idx="0">
                  <c:v>3.2080078125</c:v>
                </c:pt>
              </c:numCache>
            </c:numRef>
          </c:xVal>
          <c:yVal>
            <c:numRef>
              <c:f>Biseccion_Ej1!$G$28</c:f>
              <c:numCache>
                <c:formatCode>General</c:formatCode>
                <c:ptCount val="1"/>
                <c:pt idx="0">
                  <c:v>-4.3372920982065466E-3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92-4208-AACB-EFE39F92E823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Biseccion_Ej1!$L$31</c:f>
              <c:numCache>
                <c:formatCode>General</c:formatCode>
                <c:ptCount val="1"/>
                <c:pt idx="0">
                  <c:v>7.4898681640625</c:v>
                </c:pt>
              </c:numCache>
            </c:numRef>
          </c:xVal>
          <c:yVal>
            <c:numRef>
              <c:f>Biseccion_Ej1!$O$31</c:f>
              <c:numCache>
                <c:formatCode>General</c:formatCode>
                <c:ptCount val="1"/>
                <c:pt idx="0">
                  <c:v>-4.4692766700791253E-3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92-4208-AACB-EFE39F92E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214447"/>
        <c:axId val="1021963823"/>
      </c:scatterChart>
      <c:valAx>
        <c:axId val="103221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1963823"/>
        <c:crosses val="autoZero"/>
        <c:crossBetween val="midCat"/>
      </c:valAx>
      <c:valAx>
        <c:axId val="102196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3221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Newton_Ej1!$F$9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Newton_Ej1!$E$10:$E$18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Newton_Ej1!$F$10:$F$18</c:f>
              <c:numCache>
                <c:formatCode>General</c:formatCode>
                <c:ptCount val="9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  <c:pt idx="7">
                  <c:v>52.573592573847236</c:v>
                </c:pt>
                <c:pt idx="8">
                  <c:v>-109.84503787208223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EA-4A22-B880-119CA130644D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Newton_Ej1!$B$13</c:f>
              <c:numCache>
                <c:formatCode>General</c:formatCode>
                <c:ptCount val="1"/>
                <c:pt idx="0">
                  <c:v>3.2082198025610289</c:v>
                </c:pt>
              </c:numCache>
            </c:numRef>
          </c:xVal>
          <c:yVal>
            <c:numRef>
              <c:f>Newton_Ej1!$C$13</c:f>
              <c:numCache>
                <c:formatCode>General</c:formatCode>
                <c:ptCount val="1"/>
                <c:pt idx="0">
                  <c:v>1.1126843446618295E-8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EA-4A22-B880-119CA130644D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Newton_Ej1!$B$22</c:f>
              <c:numCache>
                <c:formatCode>General</c:formatCode>
                <c:ptCount val="1"/>
                <c:pt idx="0">
                  <c:v>7.4898387344779893</c:v>
                </c:pt>
              </c:numCache>
            </c:numRef>
          </c:xVal>
          <c:yVal>
            <c:numRef>
              <c:f>Newton_Ej1!$C$22</c:f>
              <c:numCache>
                <c:formatCode>General</c:formatCode>
                <c:ptCount val="1"/>
                <c:pt idx="0">
                  <c:v>-6.8438282596616773E-7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EA-4A22-B880-119CA1306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221647"/>
        <c:axId val="1021991103"/>
      </c:scatterChart>
      <c:valAx>
        <c:axId val="103222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x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1991103"/>
        <c:crosses val="autoZero"/>
        <c:crossBetween val="midCat"/>
      </c:valAx>
      <c:valAx>
        <c:axId val="10219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3222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Secante_Ej1!$B$10:$B$16</c:f>
              <c:numCache>
                <c:formatCode>General</c:formatCode>
                <c:ptCount val="7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ED-414A-88C9-35094821CEF0}"/>
            </c:ext>
          </c:extLst>
        </c:ser>
        <c:ser>
          <c:idx val="1"/>
          <c:order val="1"/>
          <c:tx>
            <c:v>Raíz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Secante_Ej1!$B$24</c:f>
              <c:numCache>
                <c:formatCode>General</c:formatCode>
                <c:ptCount val="1"/>
                <c:pt idx="0">
                  <c:v>3.208219697395827</c:v>
                </c:pt>
              </c:numCache>
            </c:numRef>
          </c:xVal>
          <c:yVal>
            <c:numRef>
              <c:f>Secante_Ej1!$C$24</c:f>
              <c:numCache>
                <c:formatCode>General</c:formatCode>
                <c:ptCount val="1"/>
                <c:pt idx="0">
                  <c:v>-2.1406681440794273E-6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ED-414A-88C9-35094821CEF0}"/>
            </c:ext>
          </c:extLst>
        </c:ser>
        <c:ser>
          <c:idx val="2"/>
          <c:order val="2"/>
          <c:tx>
            <c:v>Raíz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Secante_Ej1!$F$26</c:f>
              <c:numCache>
                <c:formatCode>General</c:formatCode>
                <c:ptCount val="1"/>
                <c:pt idx="0">
                  <c:v>7.4898387301426341</c:v>
                </c:pt>
              </c:numCache>
            </c:numRef>
          </c:xVal>
          <c:yVal>
            <c:numRef>
              <c:f>Secante_Ej1!$G$26</c:f>
              <c:numCache>
                <c:formatCode>General</c:formatCode>
                <c:ptCount val="1"/>
                <c:pt idx="0">
                  <c:v>-2.6115685614058748E-8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ED-414A-88C9-35094821C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379087"/>
        <c:axId val="1041734895"/>
      </c:scatterChart>
      <c:valAx>
        <c:axId val="79837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41734895"/>
        <c:crosses val="autoZero"/>
        <c:crossBetween val="midCat"/>
      </c:valAx>
      <c:valAx>
        <c:axId val="1041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9837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Biseccion_Ej2!$B$15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Biseccion_Ej2!$A$16:$A$24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Biseccion_Ej2!$B$16:$B$24</c:f>
              <c:numCache>
                <c:formatCode>General</c:formatCode>
                <c:ptCount val="9"/>
                <c:pt idx="0">
                  <c:v>2</c:v>
                </c:pt>
                <c:pt idx="1">
                  <c:v>2.938276615812609</c:v>
                </c:pt>
                <c:pt idx="2">
                  <c:v>3.5244129544236893</c:v>
                </c:pt>
                <c:pt idx="3">
                  <c:v>3.4924849598121632</c:v>
                </c:pt>
                <c:pt idx="4">
                  <c:v>2.7278922804770449</c:v>
                </c:pt>
                <c:pt idx="5">
                  <c:v>1.2954164323118698</c:v>
                </c:pt>
                <c:pt idx="6">
                  <c:v>-0.57663997582039839</c:v>
                </c:pt>
                <c:pt idx="7">
                  <c:v>-2.5523496830688597</c:v>
                </c:pt>
                <c:pt idx="8">
                  <c:v>-4.2704074859237844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99-4B14-9C68-74D013BF6D5F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Biseccion_Ej2!$F$25</c:f>
              <c:numCache>
                <c:formatCode>General</c:formatCode>
                <c:ptCount val="1"/>
                <c:pt idx="0">
                  <c:v>5.70703125</c:v>
                </c:pt>
              </c:numCache>
            </c:numRef>
          </c:xVal>
          <c:yVal>
            <c:numRef>
              <c:f>Biseccion_Ej2!$I$25</c:f>
              <c:numCache>
                <c:formatCode>General</c:formatCode>
                <c:ptCount val="1"/>
                <c:pt idx="0">
                  <c:v>-1.1885591072906543E-3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99-4B14-9C68-74D013BF6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945503"/>
        <c:axId val="989168719"/>
      </c:scatterChart>
      <c:valAx>
        <c:axId val="111194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89168719"/>
        <c:crosses val="autoZero"/>
        <c:crossBetween val="midCat"/>
      </c:valAx>
      <c:valAx>
        <c:axId val="98916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1194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Newton_Ej2!$G$12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Newton_Ej2!$F$13:$F$21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Newton_Ej2!$G$13:$G$21</c:f>
              <c:numCache>
                <c:formatCode>General</c:formatCode>
                <c:ptCount val="9"/>
                <c:pt idx="0">
                  <c:v>2</c:v>
                </c:pt>
                <c:pt idx="1">
                  <c:v>2.938276615812609</c:v>
                </c:pt>
                <c:pt idx="2">
                  <c:v>3.5244129544236893</c:v>
                </c:pt>
                <c:pt idx="3">
                  <c:v>3.4924849598121632</c:v>
                </c:pt>
                <c:pt idx="4">
                  <c:v>2.7278922804770449</c:v>
                </c:pt>
                <c:pt idx="5">
                  <c:v>1.2954164323118698</c:v>
                </c:pt>
                <c:pt idx="6">
                  <c:v>-0.57663997582039839</c:v>
                </c:pt>
                <c:pt idx="7">
                  <c:v>-2.5523496830688597</c:v>
                </c:pt>
                <c:pt idx="8">
                  <c:v>-4.2704074859237844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A3-49FF-964F-0109C2EA26BB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Newton_Ej2!$B$16</c:f>
              <c:numCache>
                <c:formatCode>General</c:formatCode>
                <c:ptCount val="1"/>
                <c:pt idx="0">
                  <c:v>5.7064179985159509</c:v>
                </c:pt>
              </c:numCache>
            </c:numRef>
          </c:xVal>
          <c:yVal>
            <c:numRef>
              <c:f>Newton_Ej2!$C$16</c:f>
              <c:numCache>
                <c:formatCode>General</c:formatCode>
                <c:ptCount val="1"/>
                <c:pt idx="0">
                  <c:v>-2.5384503388181656E-9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A3-49FF-964F-0109C2EA2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34607"/>
        <c:axId val="966000191"/>
      </c:scatterChart>
      <c:valAx>
        <c:axId val="88813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6000191"/>
        <c:crosses val="autoZero"/>
        <c:crossBetween val="midCat"/>
      </c:valAx>
      <c:valAx>
        <c:axId val="96600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813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Secante_Ej2!$B$9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Secante_Ej2!$A$10:$A$15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Secante_Ej2!$B$10:$B$15</c:f>
              <c:numCache>
                <c:formatCode>General</c:formatCode>
                <c:ptCount val="6"/>
                <c:pt idx="0">
                  <c:v>2</c:v>
                </c:pt>
                <c:pt idx="1">
                  <c:v>2.938276615812609</c:v>
                </c:pt>
                <c:pt idx="2">
                  <c:v>3.5244129544236893</c:v>
                </c:pt>
                <c:pt idx="3">
                  <c:v>3.4924849598121632</c:v>
                </c:pt>
                <c:pt idx="4">
                  <c:v>2.7278922804770449</c:v>
                </c:pt>
                <c:pt idx="5">
                  <c:v>1.2954164323118698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59-4030-97F2-FD02AFD37630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Secante_Ej2!$B$22</c:f>
              <c:numCache>
                <c:formatCode>General</c:formatCode>
                <c:ptCount val="1"/>
                <c:pt idx="0">
                  <c:v>5.7064181527107776</c:v>
                </c:pt>
              </c:numCache>
            </c:numRef>
          </c:xVal>
          <c:yVal>
            <c:numRef>
              <c:f>Secante_Ej2!$C$22</c:f>
              <c:numCache>
                <c:formatCode>General</c:formatCode>
                <c:ptCount val="1"/>
                <c:pt idx="0">
                  <c:v>-3.0137685236297784E-7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59-4030-97F2-FD02AFD37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223087"/>
        <c:axId val="1021940511"/>
      </c:scatterChart>
      <c:valAx>
        <c:axId val="103222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1940511"/>
        <c:crosses val="autoZero"/>
        <c:crossBetween val="midCat"/>
      </c:valAx>
      <c:valAx>
        <c:axId val="102194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3222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Biseccion_Ej3!$B$12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Biseccion_Ej3!$A$13:$A$23</c:f>
              <c:numCache>
                <c:formatCode>General</c:formatCode>
                <c:ptCount val="11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</c:numCache>
            </c:numRef>
          </c:xVal>
          <c:yVal>
            <c:numRef>
              <c:f>Biseccion_Ej3!$B$13:$B$23</c:f>
              <c:numCache>
                <c:formatCode>General</c:formatCode>
                <c:ptCount val="11"/>
                <c:pt idx="0">
                  <c:v>-11.873127313836179</c:v>
                </c:pt>
                <c:pt idx="1">
                  <c:v>-2.6382500373785192</c:v>
                </c:pt>
                <c:pt idx="2">
                  <c:v>1.3512787292998718</c:v>
                </c:pt>
                <c:pt idx="3">
                  <c:v>2.0539936458280645</c:v>
                </c:pt>
                <c:pt idx="4">
                  <c:v>1</c:v>
                </c:pt>
                <c:pt idx="5">
                  <c:v>-0.56970019576785114</c:v>
                </c:pt>
                <c:pt idx="6">
                  <c:v>-1.6065306597126332</c:v>
                </c:pt>
                <c:pt idx="7">
                  <c:v>-1.1878247436672833</c:v>
                </c:pt>
                <c:pt idx="8">
                  <c:v>1.5284822353142307</c:v>
                </c:pt>
                <c:pt idx="9">
                  <c:v>7.3343450196238127</c:v>
                </c:pt>
                <c:pt idx="10">
                  <c:v>16.991828558664132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7C-4223-A2A7-C89CDF763BD7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Biseccion_Ej3!$D$32</c:f>
              <c:numCache>
                <c:formatCode>General</c:formatCode>
                <c:ptCount val="1"/>
                <c:pt idx="0">
                  <c:v>-1.234375</c:v>
                </c:pt>
              </c:numCache>
            </c:numRef>
          </c:xVal>
          <c:yVal>
            <c:numRef>
              <c:f>Biseccion_Ej3!$G$32</c:f>
              <c:numCache>
                <c:formatCode>General</c:formatCode>
                <c:ptCount val="1"/>
                <c:pt idx="0">
                  <c:v>-2.1290798148916323E-3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7C-4223-A2A7-C89CDF763BD7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Biseccion_Ej3!$D$43</c:f>
              <c:numCache>
                <c:formatCode>General</c:formatCode>
                <c:ptCount val="1"/>
                <c:pt idx="0">
                  <c:v>0.31640625</c:v>
                </c:pt>
              </c:numCache>
            </c:numRef>
          </c:xVal>
          <c:yVal>
            <c:numRef>
              <c:f>Biseccion_Ej3!$G$43</c:f>
              <c:numCache>
                <c:formatCode>General</c:formatCode>
                <c:ptCount val="1"/>
                <c:pt idx="0">
                  <c:v>-3.006427010124435E-3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7C-4223-A2A7-C89CDF763BD7}"/>
            </c:ext>
          </c:extLst>
        </c:ser>
        <c:ser>
          <c:idx val="3"/>
          <c:order val="3"/>
          <c:tx>
            <c:v>raiz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Biseccion_Ej3!$D$56</c:f>
              <c:numCache>
                <c:formatCode>General</c:formatCode>
                <c:ptCount val="1"/>
                <c:pt idx="0">
                  <c:v>1.7802734375</c:v>
                </c:pt>
              </c:numCache>
            </c:numRef>
          </c:xVal>
          <c:yVal>
            <c:numRef>
              <c:f>Biseccion_Ej3!$G$56</c:f>
              <c:numCache>
                <c:formatCode>General</c:formatCode>
                <c:ptCount val="1"/>
                <c:pt idx="0">
                  <c:v>1.8762969750696357E-4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7C-4223-A2A7-C89CDF763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46127"/>
        <c:axId val="1028415519"/>
      </c:scatterChart>
      <c:valAx>
        <c:axId val="88814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8415519"/>
        <c:crosses val="autoZero"/>
        <c:crossBetween val="midCat"/>
      </c:valAx>
      <c:valAx>
        <c:axId val="10284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814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Newton_Ej3!$B$18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Newton_Ej3!$A$19:$A$29</c:f>
              <c:numCache>
                <c:formatCode>General</c:formatCode>
                <c:ptCount val="11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</c:numCache>
            </c:numRef>
          </c:xVal>
          <c:yVal>
            <c:numRef>
              <c:f>Newton_Ej3!$B$19:$B$29</c:f>
              <c:numCache>
                <c:formatCode>General</c:formatCode>
                <c:ptCount val="11"/>
                <c:pt idx="0">
                  <c:v>-11.873127313836179</c:v>
                </c:pt>
                <c:pt idx="1">
                  <c:v>-2.6382500373785192</c:v>
                </c:pt>
                <c:pt idx="2">
                  <c:v>1.3512787292998718</c:v>
                </c:pt>
                <c:pt idx="3">
                  <c:v>2.0539936458280645</c:v>
                </c:pt>
                <c:pt idx="4">
                  <c:v>1</c:v>
                </c:pt>
                <c:pt idx="5">
                  <c:v>-0.56970019576785114</c:v>
                </c:pt>
                <c:pt idx="6">
                  <c:v>-1.6065306597126332</c:v>
                </c:pt>
                <c:pt idx="7">
                  <c:v>-1.1878247436672833</c:v>
                </c:pt>
                <c:pt idx="8">
                  <c:v>1.5284822353142307</c:v>
                </c:pt>
                <c:pt idx="9">
                  <c:v>7.3343450196238127</c:v>
                </c:pt>
                <c:pt idx="10">
                  <c:v>16.991828558664132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1C-48F8-A241-3325C3DEF208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Newton_Ej3!$B$13</c:f>
              <c:numCache>
                <c:formatCode>General</c:formatCode>
                <c:ptCount val="1"/>
                <c:pt idx="0">
                  <c:v>-1.2340951937674507</c:v>
                </c:pt>
              </c:numCache>
            </c:numRef>
          </c:xVal>
          <c:yVal>
            <c:numRef>
              <c:f>Newton_Ej3!$C$13</c:f>
              <c:numCache>
                <c:formatCode>General</c:formatCode>
                <c:ptCount val="1"/>
                <c:pt idx="0">
                  <c:v>-1.4494420002009178E-5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1C-48F8-A241-3325C3DEF208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Newton_Ej3!$F$13</c:f>
              <c:numCache>
                <c:formatCode>General</c:formatCode>
                <c:ptCount val="1"/>
                <c:pt idx="0">
                  <c:v>0.31546600072211045</c:v>
                </c:pt>
              </c:numCache>
            </c:numRef>
          </c:xVal>
          <c:yVal>
            <c:numRef>
              <c:f>Newton_Ej3!$G$13</c:f>
              <c:numCache>
                <c:formatCode>General</c:formatCode>
                <c:ptCount val="1"/>
                <c:pt idx="0">
                  <c:v>1.8632861920053756E-10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1C-48F8-A241-3325C3DEF208}"/>
            </c:ext>
          </c:extLst>
        </c:ser>
        <c:ser>
          <c:idx val="3"/>
          <c:order val="3"/>
          <c:tx>
            <c:v>raiz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Newton_Ej3!$J$13</c:f>
              <c:numCache>
                <c:formatCode>General</c:formatCode>
                <c:ptCount val="1"/>
                <c:pt idx="0">
                  <c:v>1.780240629661453</c:v>
                </c:pt>
              </c:numCache>
            </c:numRef>
          </c:xVal>
          <c:yVal>
            <c:numRef>
              <c:f>Newton_Ej3!$K$13</c:f>
              <c:numCache>
                <c:formatCode>General</c:formatCode>
                <c:ptCount val="1"/>
                <c:pt idx="0">
                  <c:v>7.3483401319407449E-7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1C-48F8-A241-3325C3DEF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33647"/>
        <c:axId val="1028426927"/>
      </c:scatterChart>
      <c:valAx>
        <c:axId val="88813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8426927"/>
        <c:crosses val="autoZero"/>
        <c:crossBetween val="midCat"/>
      </c:valAx>
      <c:valAx>
        <c:axId val="102842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f(n)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813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Secante_Ej3!$B$9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Secante_Ej3!$A$10:$A$14</c:f>
              <c:numCache>
                <c:formatCode>General</c:formatCode>
                <c:ptCount val="5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</c:numCache>
            </c:numRef>
          </c:xVal>
          <c:yVal>
            <c:numRef>
              <c:f>Secante_Ej3!$B$10:$B$14</c:f>
              <c:numCache>
                <c:formatCode>General</c:formatCode>
                <c:ptCount val="5"/>
                <c:pt idx="0">
                  <c:v>-11.873127313836179</c:v>
                </c:pt>
                <c:pt idx="1">
                  <c:v>-2.6382500373785192</c:v>
                </c:pt>
                <c:pt idx="2">
                  <c:v>1.3512787292998718</c:v>
                </c:pt>
                <c:pt idx="3">
                  <c:v>2.0539936458280645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A-45FC-B92D-F78BD2D8271D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Secante_Ej3!$B$22</c:f>
              <c:numCache>
                <c:formatCode>General</c:formatCode>
                <c:ptCount val="1"/>
                <c:pt idx="0">
                  <c:v>-1.2340578687261863</c:v>
                </c:pt>
              </c:numCache>
            </c:numRef>
          </c:xVal>
          <c:yVal>
            <c:numRef>
              <c:f>Secante_Ej3!$C$22</c:f>
              <c:numCache>
                <c:formatCode>General</c:formatCode>
                <c:ptCount val="1"/>
                <c:pt idx="0">
                  <c:v>2.6748586001179575E-4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5A-45FC-B92D-F78BD2D8271D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Secante_Ej3!$F$21</c:f>
              <c:numCache>
                <c:formatCode>General</c:formatCode>
                <c:ptCount val="1"/>
                <c:pt idx="0">
                  <c:v>0.31546603846901217</c:v>
                </c:pt>
              </c:numCache>
            </c:numRef>
          </c:xVal>
          <c:yVal>
            <c:numRef>
              <c:f>Secante_Ej3!$G$21</c:f>
              <c:numCache>
                <c:formatCode>General</c:formatCode>
                <c:ptCount val="1"/>
                <c:pt idx="0">
                  <c:v>-1.2052109887861207E-7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5A-45FC-B92D-F78BD2D8271D}"/>
            </c:ext>
          </c:extLst>
        </c:ser>
        <c:ser>
          <c:idx val="3"/>
          <c:order val="3"/>
          <c:tx>
            <c:v>raiz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Secante_Ej3!$J$22</c:f>
              <c:numCache>
                <c:formatCode>General</c:formatCode>
                <c:ptCount val="1"/>
                <c:pt idx="0">
                  <c:v>1.7802322406135895</c:v>
                </c:pt>
              </c:numCache>
            </c:numRef>
          </c:xVal>
          <c:yVal>
            <c:numRef>
              <c:f>Secante_Ej3!$K$22</c:f>
              <c:numCache>
                <c:formatCode>General</c:formatCode>
                <c:ptCount val="1"/>
                <c:pt idx="0">
                  <c:v>-4.7052758239907178E-5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5A-45FC-B92D-F78BD2D82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280175"/>
        <c:axId val="204582255"/>
      </c:scatterChart>
      <c:valAx>
        <c:axId val="109728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x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4582255"/>
        <c:crosses val="autoZero"/>
        <c:crossBetween val="midCat"/>
      </c:valAx>
      <c:valAx>
        <c:axId val="2045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9728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Gráfica de la función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Biseccion_Ej4!$B$12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Biseccion_Ej4!$A$13:$A$19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Biseccion_Ej4!$B$13:$B$19</c:f>
              <c:numCache>
                <c:formatCode>General</c:formatCode>
                <c:ptCount val="7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D-4377-A489-C5958E920802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Biseccion_Ej4!$D$38</c:f>
              <c:numCache>
                <c:formatCode>General</c:formatCode>
                <c:ptCount val="1"/>
                <c:pt idx="0">
                  <c:v>3.7256011962890625</c:v>
                </c:pt>
              </c:numCache>
            </c:numRef>
          </c:xVal>
          <c:yVal>
            <c:numRef>
              <c:f>Biseccion_Ej4!$G$38</c:f>
              <c:numCache>
                <c:formatCode>General</c:formatCode>
                <c:ptCount val="1"/>
                <c:pt idx="0">
                  <c:v>4.0752584435921335E-6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2D-4377-A489-C5958E920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984831"/>
        <c:axId val="877468047"/>
      </c:scatterChart>
      <c:valAx>
        <c:axId val="112098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x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77468047"/>
        <c:crosses val="autoZero"/>
        <c:crossBetween val="midCat"/>
      </c:valAx>
      <c:valAx>
        <c:axId val="8774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2098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Gráfica de f(x)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Newton_Ej4!$B$18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Newton_Ej4!$A$19:$A$25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Newton_Ej4!$B$19:$B$25</c:f>
              <c:numCache>
                <c:formatCode>General</c:formatCode>
                <c:ptCount val="7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B8-41DD-B656-696E1231CC39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Newton_Ej4!$B$16</c:f>
              <c:numCache>
                <c:formatCode>General</c:formatCode>
                <c:ptCount val="1"/>
                <c:pt idx="0">
                  <c:v>3.7256021786531734</c:v>
                </c:pt>
              </c:numCache>
            </c:numRef>
          </c:xVal>
          <c:yVal>
            <c:numRef>
              <c:f>Newton_Ej4!$C$16</c:f>
              <c:numCache>
                <c:formatCode>General</c:formatCode>
                <c:ptCount val="1"/>
                <c:pt idx="0">
                  <c:v>-9.0657943374594652E-9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B8-41DD-B656-696E1231C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81471"/>
        <c:axId val="159230799"/>
      </c:scatterChart>
      <c:valAx>
        <c:axId val="4328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230799"/>
        <c:crosses val="autoZero"/>
        <c:crossBetween val="midCat"/>
      </c:valAx>
      <c:valAx>
        <c:axId val="1592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328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Gráfica de la función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Secante_Ej4!$B$10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Secante_Ej4!$A$11:$A$17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Secante_Ej4!$B$11:$B$17</c:f>
              <c:numCache>
                <c:formatCode>General</c:formatCode>
                <c:ptCount val="7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4-46B0-99EC-F5982343993D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Secante_Ej4!$B$28</c:f>
              <c:numCache>
                <c:formatCode>General</c:formatCode>
                <c:ptCount val="1"/>
                <c:pt idx="0">
                  <c:v>3.7256020664136131</c:v>
                </c:pt>
              </c:numCache>
            </c:numRef>
          </c:xVal>
          <c:yVal>
            <c:numRef>
              <c:f>Secante_Ej4!$C$28</c:f>
              <c:numCache>
                <c:formatCode>General</c:formatCode>
                <c:ptCount val="1"/>
                <c:pt idx="0">
                  <c:v>4.5758690347952324E-7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94-46B0-99EC-F59823439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34607"/>
        <c:axId val="813639567"/>
      </c:scatterChart>
      <c:valAx>
        <c:axId val="88813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13639567"/>
        <c:crosses val="autoZero"/>
        <c:crossBetween val="midCat"/>
      </c:valAx>
      <c:valAx>
        <c:axId val="81363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f(n)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813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765704</xdr:colOff>
      <xdr:row>29</xdr:row>
      <xdr:rowOff>121178</xdr:rowOff>
    </xdr:from>
    <xdr:to>
      <xdr:col>6</xdr:col>
      <xdr:colOff>537104</xdr:colOff>
      <xdr:row>44</xdr:row>
      <xdr:rowOff>6878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623972-358A-4BA7-9D10-C88332EFE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23</xdr:row>
      <xdr:rowOff>33337</xdr:rowOff>
    </xdr:from>
    <xdr:to>
      <xdr:col>5</xdr:col>
      <xdr:colOff>409575</xdr:colOff>
      <xdr:row>37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4BA353-E489-4CE6-BA46-15DDEF373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</xdr:row>
      <xdr:rowOff>90487</xdr:rowOff>
    </xdr:from>
    <xdr:to>
      <xdr:col>13</xdr:col>
      <xdr:colOff>47625</xdr:colOff>
      <xdr:row>15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448597-3BB7-4A4A-B8E2-188879F32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0</xdr:row>
      <xdr:rowOff>90487</xdr:rowOff>
    </xdr:from>
    <xdr:to>
      <xdr:col>7</xdr:col>
      <xdr:colOff>304799</xdr:colOff>
      <xdr:row>13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DBFBE4-48F2-431E-8667-800E2D5B1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166687</xdr:rowOff>
    </xdr:from>
    <xdr:to>
      <xdr:col>4</xdr:col>
      <xdr:colOff>838200</xdr:colOff>
      <xdr:row>31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12DA69-951A-4AC9-BA35-24B97B598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16</xdr:row>
      <xdr:rowOff>4762</xdr:rowOff>
    </xdr:from>
    <xdr:to>
      <xdr:col>9</xdr:col>
      <xdr:colOff>0</xdr:colOff>
      <xdr:row>30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E35905-C421-45D4-AB26-4838D8E06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9</xdr:row>
      <xdr:rowOff>52387</xdr:rowOff>
    </xdr:from>
    <xdr:to>
      <xdr:col>7</xdr:col>
      <xdr:colOff>571500</xdr:colOff>
      <xdr:row>23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AF464D-457B-46F2-A182-317916086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16</xdr:row>
      <xdr:rowOff>33337</xdr:rowOff>
    </xdr:from>
    <xdr:to>
      <xdr:col>8</xdr:col>
      <xdr:colOff>476250</xdr:colOff>
      <xdr:row>30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A721D7-27BD-4CB9-8D5A-AD9A3906D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511507</xdr:colOff>
      <xdr:row>23</xdr:row>
      <xdr:rowOff>154564</xdr:rowOff>
    </xdr:from>
    <xdr:to>
      <xdr:col>8</xdr:col>
      <xdr:colOff>423059</xdr:colOff>
      <xdr:row>38</xdr:row>
      <xdr:rowOff>40264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D968C5-88B2-449C-B8B1-1B83B64CB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6</xdr:row>
      <xdr:rowOff>61912</xdr:rowOff>
    </xdr:from>
    <xdr:to>
      <xdr:col>6</xdr:col>
      <xdr:colOff>971550</xdr:colOff>
      <xdr:row>20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DFA87-6EDD-4E55-A40A-628233A79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17</xdr:row>
      <xdr:rowOff>23812</xdr:rowOff>
    </xdr:from>
    <xdr:to>
      <xdr:col>8</xdr:col>
      <xdr:colOff>200025</xdr:colOff>
      <xdr:row>31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73190C-C183-4D52-9D76-13273263D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15</xdr:row>
      <xdr:rowOff>61912</xdr:rowOff>
    </xdr:from>
    <xdr:to>
      <xdr:col>9</xdr:col>
      <xdr:colOff>276225</xdr:colOff>
      <xdr:row>29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052DF-C1AC-4B73-A0B9-5C6AAF38E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1_BISECCION.xlsx" TargetMode="External"/><Relationship Id="rId1" Type="http://schemas.openxmlformats.org/officeDocument/2006/relationships/externalLinkPath" Target="/Users/COMPU/Desktop/U/METODOS%20NUMERICOS/PROYECTO%20RAICES/EJ1_BISECC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1_SECANTE.xlsx" TargetMode="External"/><Relationship Id="rId1" Type="http://schemas.openxmlformats.org/officeDocument/2006/relationships/externalLinkPath" Target="/Users/COMPU/Desktop/U/METODOS%20NUMERICOS/PROYECTO%20RAICES/EJ1_SECAN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2_BISECCION.xlsx" TargetMode="External"/><Relationship Id="rId1" Type="http://schemas.openxmlformats.org/officeDocument/2006/relationships/externalLinkPath" Target="/Users/COMPU/Desktop/U/METODOS%20NUMERICOS/PROYECTO%20RAICES/EJ2_BISECCIO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2_NEWTON.xlsx" TargetMode="External"/><Relationship Id="rId1" Type="http://schemas.openxmlformats.org/officeDocument/2006/relationships/externalLinkPath" Target="/Users/COMPU/Desktop/U/METODOS%20NUMERICOS/PROYECTO%20RAICES/EJ2_NEWTO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2_SECANTE.xlsx" TargetMode="External"/><Relationship Id="rId1" Type="http://schemas.openxmlformats.org/officeDocument/2006/relationships/externalLinkPath" Target="/Users/COMPU/Desktop/U/METODOS%20NUMERICOS/PROYECTO%20RAICES/EJ2_SECANT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3_BISECCION.xlsx" TargetMode="External"/><Relationship Id="rId1" Type="http://schemas.openxmlformats.org/officeDocument/2006/relationships/externalLinkPath" Target="/Users/COMPU/Desktop/U/METODOS%20NUMERICOS/PROYECTO%20RAICES/EJ3_BISECC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3_NEWTON.xlsx" TargetMode="External"/><Relationship Id="rId1" Type="http://schemas.openxmlformats.org/officeDocument/2006/relationships/externalLinkPath" Target="/Users/COMPU/Desktop/U/METODOS%20NUMERICOS/PROYECTO%20RAICES/EJ3_NEWTO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3_SECANTE.xlsx" TargetMode="External"/><Relationship Id="rId1" Type="http://schemas.openxmlformats.org/officeDocument/2006/relationships/externalLinkPath" Target="/Users/COMPU/Desktop/U/METODOS%20NUMERICOS/PROYECTO%20RAICES/EJ3_SECANT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4_BISECCION.xlsx" TargetMode="External"/><Relationship Id="rId1" Type="http://schemas.openxmlformats.org/officeDocument/2006/relationships/externalLinkPath" Target="/Users/COMPU/Desktop/U/METODOS%20NUMERICOS/PROYECTO%20RAICES/EJ4_BISECC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4_NEWTON.xlsx" TargetMode="External"/><Relationship Id="rId1" Type="http://schemas.openxmlformats.org/officeDocument/2006/relationships/externalLinkPath" Target="/Users/COMPU/Desktop/U/METODOS%20NUMERICOS/PROYECTO%20RAICES/EJ4_NEWT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PROYECTO%20RAICES\EJ4_SECANTE.xlsx" TargetMode="External"/><Relationship Id="rId1" Type="http://schemas.openxmlformats.org/officeDocument/2006/relationships/externalLinkPath" Target="/Users/COMPU/Desktop/U/METODOS%20NUMERICOS/PROYECTO%20RAICES/EJ4_SECA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seccion_Ej1"/>
    </sheetNames>
    <sheetDataSet>
      <sheetData sheetId="0">
        <row r="10">
          <cell r="A10">
            <v>0</v>
          </cell>
          <cell r="B10">
            <v>-21</v>
          </cell>
        </row>
        <row r="11">
          <cell r="A11">
            <v>1</v>
          </cell>
          <cell r="B11">
            <v>-21.225540928492467</v>
          </cell>
        </row>
        <row r="12">
          <cell r="A12">
            <v>2</v>
          </cell>
          <cell r="B12">
            <v>-16.953032424395115</v>
          </cell>
        </row>
        <row r="13">
          <cell r="A13">
            <v>3</v>
          </cell>
          <cell r="B13">
            <v>-4.0231763806416048</v>
          </cell>
        </row>
        <row r="14">
          <cell r="A14">
            <v>4</v>
          </cell>
          <cell r="B14">
            <v>19.467469802890648</v>
          </cell>
        </row>
        <row r="15">
          <cell r="A15">
            <v>5</v>
          </cell>
          <cell r="B15">
            <v>50.401849966855764</v>
          </cell>
        </row>
        <row r="16">
          <cell r="A16">
            <v>6</v>
          </cell>
          <cell r="B16">
            <v>74.489582481265032</v>
          </cell>
        </row>
        <row r="28">
          <cell r="D28">
            <v>3.2080078125</v>
          </cell>
          <cell r="G28">
            <v>-4.3372920982065466E-3</v>
          </cell>
        </row>
        <row r="31">
          <cell r="L31">
            <v>7.4898681640625</v>
          </cell>
          <cell r="O31">
            <v>-4.4692766700791253E-3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ante_Ej1"/>
    </sheetNames>
    <sheetDataSet>
      <sheetData sheetId="0">
        <row r="10">
          <cell r="B10">
            <v>-21</v>
          </cell>
        </row>
        <row r="11">
          <cell r="B11">
            <v>-21.225540928492467</v>
          </cell>
        </row>
        <row r="12">
          <cell r="B12">
            <v>-16.953032424395115</v>
          </cell>
        </row>
        <row r="13">
          <cell r="B13">
            <v>-4.0231763806416048</v>
          </cell>
        </row>
        <row r="14">
          <cell r="B14">
            <v>19.467469802890648</v>
          </cell>
        </row>
        <row r="15">
          <cell r="B15">
            <v>50.401849966855764</v>
          </cell>
        </row>
        <row r="16">
          <cell r="B16">
            <v>74.489582481265032</v>
          </cell>
        </row>
        <row r="24">
          <cell r="B24">
            <v>3.208219697395827</v>
          </cell>
          <cell r="C24">
            <v>-2.1406681440794273E-6</v>
          </cell>
        </row>
        <row r="26">
          <cell r="F26">
            <v>7.4898387301426341</v>
          </cell>
          <cell r="G26">
            <v>-2.6115685614058748E-8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seccion_Ej2"/>
    </sheetNames>
    <sheetDataSet>
      <sheetData sheetId="0">
        <row r="15">
          <cell r="B15" t="str">
            <v>y</v>
          </cell>
        </row>
        <row r="16">
          <cell r="A16">
            <v>0</v>
          </cell>
          <cell r="B16">
            <v>2</v>
          </cell>
        </row>
        <row r="17">
          <cell r="A17">
            <v>1</v>
          </cell>
          <cell r="B17">
            <v>2.938276615812609</v>
          </cell>
        </row>
        <row r="18">
          <cell r="A18">
            <v>2</v>
          </cell>
          <cell r="B18">
            <v>3.5244129544236893</v>
          </cell>
        </row>
        <row r="19">
          <cell r="A19">
            <v>3</v>
          </cell>
          <cell r="B19">
            <v>3.4924849598121632</v>
          </cell>
        </row>
        <row r="20">
          <cell r="A20">
            <v>4</v>
          </cell>
          <cell r="B20">
            <v>2.7278922804770449</v>
          </cell>
        </row>
        <row r="21">
          <cell r="A21">
            <v>5</v>
          </cell>
          <cell r="B21">
            <v>1.2954164323118698</v>
          </cell>
        </row>
        <row r="22">
          <cell r="A22">
            <v>6</v>
          </cell>
          <cell r="B22">
            <v>-0.57663997582039839</v>
          </cell>
        </row>
        <row r="23">
          <cell r="A23">
            <v>7</v>
          </cell>
          <cell r="B23">
            <v>-2.5523496830688597</v>
          </cell>
        </row>
        <row r="24">
          <cell r="A24">
            <v>8</v>
          </cell>
          <cell r="B24">
            <v>-4.2704074859237844</v>
          </cell>
        </row>
        <row r="25">
          <cell r="F25">
            <v>5.70703125</v>
          </cell>
          <cell r="I25">
            <v>-1.1885591072906543E-3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ton_Ej2"/>
    </sheetNames>
    <sheetDataSet>
      <sheetData sheetId="0">
        <row r="12">
          <cell r="G12" t="str">
            <v>f(x)</v>
          </cell>
        </row>
        <row r="13">
          <cell r="F13">
            <v>0</v>
          </cell>
          <cell r="G13">
            <v>2</v>
          </cell>
        </row>
        <row r="14">
          <cell r="F14">
            <v>1</v>
          </cell>
          <cell r="G14">
            <v>2.938276615812609</v>
          </cell>
        </row>
        <row r="15">
          <cell r="F15">
            <v>2</v>
          </cell>
          <cell r="G15">
            <v>3.5244129544236893</v>
          </cell>
        </row>
        <row r="16">
          <cell r="B16">
            <v>5.7064179985159509</v>
          </cell>
          <cell r="C16">
            <v>-2.5384503388181656E-9</v>
          </cell>
          <cell r="F16">
            <v>3</v>
          </cell>
          <cell r="G16">
            <v>3.4924849598121632</v>
          </cell>
        </row>
        <row r="17">
          <cell r="F17">
            <v>4</v>
          </cell>
          <cell r="G17">
            <v>2.7278922804770449</v>
          </cell>
        </row>
        <row r="18">
          <cell r="F18">
            <v>5</v>
          </cell>
          <cell r="G18">
            <v>1.2954164323118698</v>
          </cell>
        </row>
        <row r="19">
          <cell r="F19">
            <v>6</v>
          </cell>
          <cell r="G19">
            <v>-0.57663997582039839</v>
          </cell>
        </row>
        <row r="20">
          <cell r="F20">
            <v>7</v>
          </cell>
          <cell r="G20">
            <v>-2.5523496830688597</v>
          </cell>
        </row>
        <row r="21">
          <cell r="F21">
            <v>8</v>
          </cell>
          <cell r="G21">
            <v>-4.2704074859237844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ante_Ej2"/>
    </sheetNames>
    <sheetDataSet>
      <sheetData sheetId="0">
        <row r="9">
          <cell r="B9" t="str">
            <v>f(x)</v>
          </cell>
        </row>
        <row r="10">
          <cell r="A10">
            <v>0</v>
          </cell>
          <cell r="B10">
            <v>2</v>
          </cell>
        </row>
        <row r="11">
          <cell r="A11">
            <v>1</v>
          </cell>
          <cell r="B11">
            <v>2.938276615812609</v>
          </cell>
        </row>
        <row r="12">
          <cell r="A12">
            <v>2</v>
          </cell>
          <cell r="B12">
            <v>3.5244129544236893</v>
          </cell>
        </row>
        <row r="13">
          <cell r="A13">
            <v>3</v>
          </cell>
          <cell r="B13">
            <v>3.4924849598121632</v>
          </cell>
        </row>
        <row r="14">
          <cell r="A14">
            <v>4</v>
          </cell>
          <cell r="B14">
            <v>2.7278922804770449</v>
          </cell>
        </row>
        <row r="15">
          <cell r="A15">
            <v>5</v>
          </cell>
          <cell r="B15">
            <v>1.2954164323118698</v>
          </cell>
        </row>
        <row r="22">
          <cell r="B22">
            <v>5.7064181527107776</v>
          </cell>
          <cell r="C22">
            <v>-3.0137685236297784E-7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seccion_Ej3"/>
    </sheetNames>
    <sheetDataSet>
      <sheetData sheetId="0">
        <row r="12">
          <cell r="B12" t="str">
            <v>f(x)</v>
          </cell>
        </row>
        <row r="13">
          <cell r="A13">
            <v>-2</v>
          </cell>
          <cell r="B13">
            <v>-11.873127313836179</v>
          </cell>
        </row>
        <row r="14">
          <cell r="A14">
            <v>-1.5</v>
          </cell>
          <cell r="B14">
            <v>-2.6382500373785192</v>
          </cell>
        </row>
        <row r="15">
          <cell r="A15">
            <v>-1</v>
          </cell>
          <cell r="B15">
            <v>1.3512787292998718</v>
          </cell>
        </row>
        <row r="16">
          <cell r="A16">
            <v>-0.5</v>
          </cell>
          <cell r="B16">
            <v>2.0539936458280645</v>
          </cell>
        </row>
        <row r="17">
          <cell r="A17">
            <v>0</v>
          </cell>
          <cell r="B17">
            <v>1</v>
          </cell>
        </row>
        <row r="18">
          <cell r="A18">
            <v>0.5</v>
          </cell>
          <cell r="B18">
            <v>-0.56970019576785114</v>
          </cell>
        </row>
        <row r="19">
          <cell r="A19">
            <v>1</v>
          </cell>
          <cell r="B19">
            <v>-1.6065306597126332</v>
          </cell>
        </row>
        <row r="20">
          <cell r="A20">
            <v>1.5</v>
          </cell>
          <cell r="B20">
            <v>-1.1878247436672833</v>
          </cell>
        </row>
        <row r="21">
          <cell r="A21">
            <v>2</v>
          </cell>
          <cell r="B21">
            <v>1.5284822353142307</v>
          </cell>
        </row>
        <row r="22">
          <cell r="A22">
            <v>2.5</v>
          </cell>
          <cell r="B22">
            <v>7.3343450196238127</v>
          </cell>
        </row>
        <row r="23">
          <cell r="A23">
            <v>3</v>
          </cell>
          <cell r="B23">
            <v>16.991828558664132</v>
          </cell>
        </row>
        <row r="32">
          <cell r="D32">
            <v>-1.234375</v>
          </cell>
          <cell r="G32">
            <v>-2.1290798148916323E-3</v>
          </cell>
        </row>
        <row r="43">
          <cell r="D43">
            <v>0.31640625</v>
          </cell>
          <cell r="G43">
            <v>-3.006427010124435E-3</v>
          </cell>
        </row>
        <row r="56">
          <cell r="D56">
            <v>1.7802734375</v>
          </cell>
          <cell r="G56">
            <v>1.8762969750696357E-4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ton_Ej3"/>
    </sheetNames>
    <sheetDataSet>
      <sheetData sheetId="0">
        <row r="13">
          <cell r="B13">
            <v>-1.2340951937674507</v>
          </cell>
          <cell r="C13">
            <v>-1.4494420002009178E-5</v>
          </cell>
          <cell r="F13">
            <v>0.31546600072211045</v>
          </cell>
          <cell r="G13">
            <v>1.8632861920053756E-10</v>
          </cell>
          <cell r="J13">
            <v>1.780240629661453</v>
          </cell>
          <cell r="K13">
            <v>7.3483401319407449E-7</v>
          </cell>
        </row>
        <row r="18">
          <cell r="B18" t="str">
            <v>f(x)</v>
          </cell>
        </row>
        <row r="19">
          <cell r="A19">
            <v>-2</v>
          </cell>
          <cell r="B19">
            <v>-11.873127313836179</v>
          </cell>
        </row>
        <row r="20">
          <cell r="A20">
            <v>-1.5</v>
          </cell>
          <cell r="B20">
            <v>-2.6382500373785192</v>
          </cell>
        </row>
        <row r="21">
          <cell r="A21">
            <v>-1</v>
          </cell>
          <cell r="B21">
            <v>1.3512787292998718</v>
          </cell>
        </row>
        <row r="22">
          <cell r="A22">
            <v>-0.5</v>
          </cell>
          <cell r="B22">
            <v>2.0539936458280645</v>
          </cell>
        </row>
        <row r="23">
          <cell r="A23">
            <v>0</v>
          </cell>
          <cell r="B23">
            <v>1</v>
          </cell>
        </row>
        <row r="24">
          <cell r="A24">
            <v>0.5</v>
          </cell>
          <cell r="B24">
            <v>-0.56970019576785114</v>
          </cell>
        </row>
        <row r="25">
          <cell r="A25">
            <v>1</v>
          </cell>
          <cell r="B25">
            <v>-1.6065306597126332</v>
          </cell>
        </row>
        <row r="26">
          <cell r="A26">
            <v>1.5</v>
          </cell>
          <cell r="B26">
            <v>-1.1878247436672833</v>
          </cell>
        </row>
        <row r="27">
          <cell r="A27">
            <v>2</v>
          </cell>
          <cell r="B27">
            <v>1.5284822353142307</v>
          </cell>
        </row>
        <row r="28">
          <cell r="A28">
            <v>2.5</v>
          </cell>
          <cell r="B28">
            <v>7.3343450196238127</v>
          </cell>
        </row>
        <row r="29">
          <cell r="A29">
            <v>3</v>
          </cell>
          <cell r="B29">
            <v>16.991828558664132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ante_Ej3"/>
    </sheetNames>
    <sheetDataSet>
      <sheetData sheetId="0">
        <row r="9">
          <cell r="B9" t="str">
            <v>f(x)</v>
          </cell>
        </row>
        <row r="10">
          <cell r="A10">
            <v>-2</v>
          </cell>
          <cell r="B10">
            <v>-11.873127313836179</v>
          </cell>
        </row>
        <row r="11">
          <cell r="A11">
            <v>-1.5</v>
          </cell>
          <cell r="B11">
            <v>-2.6382500373785192</v>
          </cell>
        </row>
        <row r="12">
          <cell r="A12">
            <v>-1</v>
          </cell>
          <cell r="B12">
            <v>1.3512787292998718</v>
          </cell>
        </row>
        <row r="13">
          <cell r="A13">
            <v>-0.5</v>
          </cell>
          <cell r="B13">
            <v>2.0539936458280645</v>
          </cell>
        </row>
        <row r="14">
          <cell r="A14">
            <v>0</v>
          </cell>
          <cell r="B14">
            <v>1</v>
          </cell>
        </row>
        <row r="21">
          <cell r="F21">
            <v>0.31546603846901217</v>
          </cell>
          <cell r="G21">
            <v>-1.2052109887861207E-7</v>
          </cell>
        </row>
        <row r="22">
          <cell r="B22">
            <v>-1.2340578687261863</v>
          </cell>
          <cell r="C22">
            <v>2.6748586001179575E-4</v>
          </cell>
          <cell r="J22">
            <v>1.7802322406135895</v>
          </cell>
          <cell r="K22">
            <v>-4.7052758239907178E-5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seccion_Ej4"/>
    </sheetNames>
    <sheetDataSet>
      <sheetData sheetId="0">
        <row r="12">
          <cell r="B12" t="str">
            <v>f(x)</v>
          </cell>
        </row>
        <row r="13">
          <cell r="A13">
            <v>0</v>
          </cell>
          <cell r="B13">
            <v>6</v>
          </cell>
        </row>
        <row r="14">
          <cell r="A14">
            <v>1</v>
          </cell>
          <cell r="B14">
            <v>4.6169971779384271</v>
          </cell>
        </row>
        <row r="15">
          <cell r="A15">
            <v>2</v>
          </cell>
          <cell r="B15">
            <v>3.351059389177685</v>
          </cell>
        </row>
        <row r="16">
          <cell r="A16">
            <v>3</v>
          </cell>
          <cell r="B16">
            <v>2.2906804765897588</v>
          </cell>
        </row>
        <row r="17">
          <cell r="A17">
            <v>4</v>
          </cell>
          <cell r="B17">
            <v>-1.212983862377401</v>
          </cell>
        </row>
        <row r="18">
          <cell r="A18">
            <v>5</v>
          </cell>
          <cell r="B18">
            <v>-6.1237584403833871</v>
          </cell>
        </row>
        <row r="19">
          <cell r="A19">
            <v>6</v>
          </cell>
          <cell r="B19">
            <v>-12.227015413872586</v>
          </cell>
        </row>
        <row r="38">
          <cell r="D38">
            <v>3.7256011962890625</v>
          </cell>
          <cell r="G38">
            <v>4.0752584435921335E-6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ton_Ej4"/>
    </sheetNames>
    <sheetDataSet>
      <sheetData sheetId="0">
        <row r="16">
          <cell r="B16">
            <v>3.7256021786531734</v>
          </cell>
          <cell r="C16">
            <v>-9.0657943374594652E-9</v>
          </cell>
        </row>
        <row r="18">
          <cell r="B18" t="str">
            <v>f(x)</v>
          </cell>
        </row>
        <row r="19">
          <cell r="A19">
            <v>0</v>
          </cell>
          <cell r="B19">
            <v>6</v>
          </cell>
        </row>
        <row r="20">
          <cell r="A20">
            <v>1</v>
          </cell>
          <cell r="B20">
            <v>4.6169971779384271</v>
          </cell>
        </row>
        <row r="21">
          <cell r="A21">
            <v>2</v>
          </cell>
          <cell r="B21">
            <v>3.351059389177685</v>
          </cell>
        </row>
        <row r="22">
          <cell r="A22">
            <v>3</v>
          </cell>
          <cell r="B22">
            <v>2.2906804765897588</v>
          </cell>
        </row>
        <row r="23">
          <cell r="A23">
            <v>4</v>
          </cell>
          <cell r="B23">
            <v>-1.212983862377401</v>
          </cell>
        </row>
        <row r="24">
          <cell r="A24">
            <v>5</v>
          </cell>
          <cell r="B24">
            <v>-6.1237584403833871</v>
          </cell>
        </row>
        <row r="25">
          <cell r="A25">
            <v>6</v>
          </cell>
          <cell r="B25">
            <v>-12.227015413872586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ante_Ej4"/>
    </sheetNames>
    <sheetDataSet>
      <sheetData sheetId="0">
        <row r="10">
          <cell r="B10" t="str">
            <v>f(x)</v>
          </cell>
        </row>
        <row r="11">
          <cell r="A11">
            <v>0</v>
          </cell>
          <cell r="B11">
            <v>6</v>
          </cell>
        </row>
        <row r="12">
          <cell r="A12">
            <v>1</v>
          </cell>
          <cell r="B12">
            <v>4.6169971779384271</v>
          </cell>
        </row>
        <row r="13">
          <cell r="A13">
            <v>2</v>
          </cell>
          <cell r="B13">
            <v>3.351059389177685</v>
          </cell>
        </row>
        <row r="14">
          <cell r="A14">
            <v>3</v>
          </cell>
          <cell r="B14">
            <v>2.2906804765897588</v>
          </cell>
        </row>
        <row r="15">
          <cell r="A15">
            <v>4</v>
          </cell>
          <cell r="B15">
            <v>-1.212983862377401</v>
          </cell>
        </row>
        <row r="16">
          <cell r="A16">
            <v>5</v>
          </cell>
          <cell r="B16">
            <v>-6.1237584403833871</v>
          </cell>
        </row>
        <row r="17">
          <cell r="A17">
            <v>6</v>
          </cell>
          <cell r="B17">
            <v>-12.227015413872586</v>
          </cell>
        </row>
        <row r="28">
          <cell r="B28">
            <v>3.7256020664136131</v>
          </cell>
          <cell r="C28">
            <v>4.5758690347952324E-7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4F9A-2F83-487A-B867-D288A1BC50B1}">
  <dimension ref="A1:P31"/>
  <sheetViews>
    <sheetView topLeftCell="B10" zoomScale="90" zoomScaleNormal="90" workbookViewId="0">
      <selection activeCell="I37" sqref="I37"/>
    </sheetView>
  </sheetViews>
  <sheetFormatPr baseColWidth="10" defaultColWidth="9.140625" defaultRowHeight="15" x14ac:dyDescent="0.25"/>
  <cols>
    <col min="1" max="15" width="12" customWidth="1"/>
  </cols>
  <sheetData>
    <row r="1" spans="1:14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5">
      <c r="A3" s="3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4" x14ac:dyDescent="0.25">
      <c r="A5" s="3" t="s">
        <v>3</v>
      </c>
      <c r="B5" s="2" t="s">
        <v>4</v>
      </c>
      <c r="C5" s="2"/>
      <c r="D5" s="2"/>
    </row>
    <row r="7" spans="1:14" x14ac:dyDescent="0.25">
      <c r="A7" s="3" t="s">
        <v>5</v>
      </c>
    </row>
    <row r="9" spans="1:14" x14ac:dyDescent="0.25">
      <c r="A9" s="4" t="s">
        <v>6</v>
      </c>
      <c r="B9" s="4" t="s">
        <v>7</v>
      </c>
    </row>
    <row r="10" spans="1:14" x14ac:dyDescent="0.25">
      <c r="A10" s="5">
        <f>0</f>
        <v>0</v>
      </c>
      <c r="B10" s="5">
        <f>A10^3-EXP(0.8*A10)-20</f>
        <v>-21</v>
      </c>
      <c r="D10" s="2" t="s">
        <v>8</v>
      </c>
      <c r="E10" s="2"/>
      <c r="F10" s="2"/>
      <c r="G10" s="2"/>
      <c r="H10" s="2"/>
      <c r="I10" s="2"/>
      <c r="J10" s="2"/>
      <c r="L10" s="3" t="s">
        <v>9</v>
      </c>
      <c r="M10" s="6" t="s">
        <v>10</v>
      </c>
    </row>
    <row r="11" spans="1:14" x14ac:dyDescent="0.25">
      <c r="A11" s="5">
        <f>A10+1</f>
        <v>1</v>
      </c>
      <c r="B11" s="5">
        <f t="shared" ref="B11:B16" si="0">A11^3-EXP(0.8*A11)-20</f>
        <v>-21.225540928492467</v>
      </c>
      <c r="D11" s="2" t="s">
        <v>11</v>
      </c>
      <c r="E11" s="2"/>
      <c r="F11" s="2"/>
      <c r="G11" s="2"/>
      <c r="H11" s="2"/>
      <c r="I11" s="2"/>
      <c r="J11" s="2"/>
      <c r="L11" t="s">
        <v>12</v>
      </c>
      <c r="M11" s="6" t="s">
        <v>13</v>
      </c>
    </row>
    <row r="12" spans="1:14" x14ac:dyDescent="0.25">
      <c r="A12" s="5">
        <f t="shared" ref="A12:A16" si="1">A11+1</f>
        <v>2</v>
      </c>
      <c r="B12" s="5">
        <f t="shared" si="0"/>
        <v>-16.953032424395115</v>
      </c>
    </row>
    <row r="13" spans="1:14" x14ac:dyDescent="0.25">
      <c r="A13" s="7">
        <f t="shared" si="1"/>
        <v>3</v>
      </c>
      <c r="B13" s="7">
        <f t="shared" si="0"/>
        <v>-4.0231763806416048</v>
      </c>
    </row>
    <row r="14" spans="1:14" x14ac:dyDescent="0.25">
      <c r="A14" s="7">
        <f t="shared" si="1"/>
        <v>4</v>
      </c>
      <c r="B14" s="7">
        <f t="shared" si="0"/>
        <v>19.467469802890648</v>
      </c>
    </row>
    <row r="15" spans="1:14" x14ac:dyDescent="0.25">
      <c r="A15" s="5">
        <f t="shared" si="1"/>
        <v>5</v>
      </c>
      <c r="B15" s="5">
        <f t="shared" si="0"/>
        <v>50.401849966855764</v>
      </c>
    </row>
    <row r="16" spans="1:14" x14ac:dyDescent="0.25">
      <c r="A16" s="5">
        <f t="shared" si="1"/>
        <v>6</v>
      </c>
      <c r="B16" s="5">
        <f t="shared" si="0"/>
        <v>74.489582481265032</v>
      </c>
    </row>
    <row r="17" spans="1:16" x14ac:dyDescent="0.25">
      <c r="A17" s="8" t="s">
        <v>14</v>
      </c>
      <c r="B17" s="9"/>
      <c r="I17" s="3" t="s">
        <v>15</v>
      </c>
    </row>
    <row r="18" spans="1:16" x14ac:dyDescent="0.25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 t="s">
        <v>22</v>
      </c>
      <c r="I18" s="4" t="s">
        <v>16</v>
      </c>
      <c r="J18" s="4" t="s">
        <v>17</v>
      </c>
      <c r="K18" s="4" t="s">
        <v>18</v>
      </c>
      <c r="L18" s="4" t="s">
        <v>19</v>
      </c>
      <c r="M18" s="4" t="s">
        <v>20</v>
      </c>
      <c r="N18" s="4" t="s">
        <v>21</v>
      </c>
      <c r="O18" s="4" t="s">
        <v>22</v>
      </c>
    </row>
    <row r="19" spans="1:16" x14ac:dyDescent="0.25">
      <c r="A19" s="5">
        <f>0</f>
        <v>0</v>
      </c>
      <c r="B19" s="5">
        <f>3</f>
        <v>3</v>
      </c>
      <c r="C19" s="5">
        <f>4</f>
        <v>4</v>
      </c>
      <c r="D19" s="5">
        <f>(B19+C19)/2</f>
        <v>3.5</v>
      </c>
      <c r="E19" s="5">
        <f t="shared" ref="E19:G28" si="2">B19^3-EXP(0.8*B19)-20</f>
        <v>-4.0231763806416048</v>
      </c>
      <c r="F19" s="5">
        <f t="shared" si="2"/>
        <v>19.467469802890648</v>
      </c>
      <c r="G19" s="5">
        <f t="shared" si="2"/>
        <v>6.4303532289029448</v>
      </c>
      <c r="I19" s="5">
        <f>0</f>
        <v>0</v>
      </c>
      <c r="J19" s="5">
        <f>7</f>
        <v>7</v>
      </c>
      <c r="K19" s="5">
        <f>8</f>
        <v>8</v>
      </c>
      <c r="L19" s="5">
        <f>(J19+K19)/2</f>
        <v>7.5</v>
      </c>
      <c r="M19" s="5">
        <f t="shared" ref="M19:O31" si="3">J19^3-EXP(0.8*J19)-20</f>
        <v>52.573592573847236</v>
      </c>
      <c r="N19" s="5">
        <f t="shared" si="3"/>
        <v>-109.84503787208223</v>
      </c>
      <c r="O19" s="5">
        <f t="shared" si="3"/>
        <v>-1.5537934927351102</v>
      </c>
    </row>
    <row r="20" spans="1:16" x14ac:dyDescent="0.25">
      <c r="A20" s="5">
        <f>A19+1</f>
        <v>1</v>
      </c>
      <c r="B20" s="5">
        <f>IF(E19*G19&lt;0,B19,D19)</f>
        <v>3</v>
      </c>
      <c r="C20" s="5">
        <f>IF(E19*G19&lt;0,D19,C19)</f>
        <v>3.5</v>
      </c>
      <c r="D20" s="5">
        <f>(B20+C20)/2</f>
        <v>3.25</v>
      </c>
      <c r="E20" s="5">
        <f t="shared" si="2"/>
        <v>-4.0231763806416048</v>
      </c>
      <c r="F20" s="5">
        <f t="shared" si="2"/>
        <v>6.4303532289029448</v>
      </c>
      <c r="G20" s="5">
        <f t="shared" si="2"/>
        <v>0.86438696499831025</v>
      </c>
      <c r="I20" s="5">
        <f>I19+1</f>
        <v>1</v>
      </c>
      <c r="J20" s="5">
        <f>IF(M19*O19&lt;0,J19,L19)</f>
        <v>7</v>
      </c>
      <c r="K20" s="5">
        <f>IF(M19*O19&lt;0,L19,K19)</f>
        <v>7.5</v>
      </c>
      <c r="L20" s="5">
        <f>(J20+K20)/2</f>
        <v>7.25</v>
      </c>
      <c r="M20" s="5">
        <f t="shared" si="3"/>
        <v>52.573592573847236</v>
      </c>
      <c r="N20" s="5">
        <f t="shared" si="3"/>
        <v>-1.5537934927351102</v>
      </c>
      <c r="O20" s="5">
        <f t="shared" si="3"/>
        <v>30.778565090351094</v>
      </c>
    </row>
    <row r="21" spans="1:16" x14ac:dyDescent="0.25">
      <c r="A21" s="5">
        <f t="shared" ref="A21:A28" si="4">A20+1</f>
        <v>2</v>
      </c>
      <c r="B21" s="5">
        <f t="shared" ref="B21:B28" si="5">IF(E20*G20&lt;0,B20,D20)</f>
        <v>3</v>
      </c>
      <c r="C21" s="5">
        <f t="shared" ref="C21:C28" si="6">IF(E20*G20&lt;0,D20,C20)</f>
        <v>3.25</v>
      </c>
      <c r="D21" s="5">
        <f t="shared" ref="D21:D28" si="7">(B21+C21)/2</f>
        <v>3.125</v>
      </c>
      <c r="E21" s="5">
        <f t="shared" si="2"/>
        <v>-4.0231763806416048</v>
      </c>
      <c r="F21" s="5">
        <f t="shared" si="2"/>
        <v>0.86438696499831025</v>
      </c>
      <c r="G21" s="5">
        <f t="shared" si="2"/>
        <v>-1.664915835703475</v>
      </c>
      <c r="I21" s="5">
        <f t="shared" ref="I21:I31" si="8">I20+1</f>
        <v>2</v>
      </c>
      <c r="J21" s="5">
        <f t="shared" ref="J21:J31" si="9">IF(M20*O20&lt;0,J20,L20)</f>
        <v>7.25</v>
      </c>
      <c r="K21" s="5">
        <f t="shared" ref="K21:K31" si="10">IF(M20*O20&lt;0,L20,K20)</f>
        <v>7.5</v>
      </c>
      <c r="L21" s="5">
        <f t="shared" ref="L21:L31" si="11">(J21+K21)/2</f>
        <v>7.375</v>
      </c>
      <c r="M21" s="5">
        <f t="shared" si="3"/>
        <v>30.778565090351094</v>
      </c>
      <c r="N21" s="5">
        <f t="shared" si="3"/>
        <v>-1.5537934927351102</v>
      </c>
      <c r="O21" s="5">
        <f t="shared" si="3"/>
        <v>16.093391509671108</v>
      </c>
    </row>
    <row r="22" spans="1:16" x14ac:dyDescent="0.25">
      <c r="A22" s="5">
        <f t="shared" si="4"/>
        <v>3</v>
      </c>
      <c r="B22" s="5">
        <f t="shared" si="5"/>
        <v>3.125</v>
      </c>
      <c r="C22" s="5">
        <f t="shared" si="6"/>
        <v>3.25</v>
      </c>
      <c r="D22" s="5">
        <f t="shared" si="7"/>
        <v>3.1875</v>
      </c>
      <c r="E22" s="5">
        <f t="shared" si="2"/>
        <v>-1.664915835703475</v>
      </c>
      <c r="F22" s="5">
        <f t="shared" si="2"/>
        <v>0.86438696499831025</v>
      </c>
      <c r="G22" s="5">
        <f t="shared" si="2"/>
        <v>-0.42160573578803451</v>
      </c>
      <c r="I22" s="5">
        <f t="shared" si="8"/>
        <v>3</v>
      </c>
      <c r="J22" s="5">
        <f t="shared" si="9"/>
        <v>7.375</v>
      </c>
      <c r="K22" s="5">
        <f t="shared" si="10"/>
        <v>7.5</v>
      </c>
      <c r="L22" s="5">
        <f t="shared" si="11"/>
        <v>7.4375</v>
      </c>
      <c r="M22" s="5">
        <f t="shared" si="3"/>
        <v>16.093391509671108</v>
      </c>
      <c r="N22" s="5">
        <f t="shared" si="3"/>
        <v>-1.5537934927351102</v>
      </c>
      <c r="O22" s="5">
        <f t="shared" si="3"/>
        <v>7.6624324232631125</v>
      </c>
    </row>
    <row r="23" spans="1:16" x14ac:dyDescent="0.25">
      <c r="A23" s="5">
        <f t="shared" si="4"/>
        <v>4</v>
      </c>
      <c r="B23" s="5">
        <f t="shared" si="5"/>
        <v>3.1875</v>
      </c>
      <c r="C23" s="5">
        <f t="shared" si="6"/>
        <v>3.25</v>
      </c>
      <c r="D23" s="5">
        <f t="shared" si="7"/>
        <v>3.21875</v>
      </c>
      <c r="E23" s="5">
        <f t="shared" si="2"/>
        <v>-0.42160573578803451</v>
      </c>
      <c r="F23" s="5">
        <f t="shared" si="2"/>
        <v>0.86438696499831025</v>
      </c>
      <c r="G23" s="5">
        <f t="shared" si="2"/>
        <v>0.21606443330685821</v>
      </c>
      <c r="I23" s="5">
        <f t="shared" si="8"/>
        <v>4</v>
      </c>
      <c r="J23" s="5">
        <f t="shared" si="9"/>
        <v>7.4375</v>
      </c>
      <c r="K23" s="5">
        <f t="shared" si="10"/>
        <v>7.5</v>
      </c>
      <c r="L23" s="5">
        <f t="shared" si="11"/>
        <v>7.46875</v>
      </c>
      <c r="M23" s="5">
        <f t="shared" si="3"/>
        <v>7.6624324232631125</v>
      </c>
      <c r="N23" s="5">
        <f t="shared" si="3"/>
        <v>-1.5537934927351102</v>
      </c>
      <c r="O23" s="5">
        <f t="shared" si="3"/>
        <v>3.1554035475757587</v>
      </c>
    </row>
    <row r="24" spans="1:16" x14ac:dyDescent="0.25">
      <c r="A24" s="5">
        <f t="shared" si="4"/>
        <v>5</v>
      </c>
      <c r="B24" s="5">
        <f t="shared" si="5"/>
        <v>3.1875</v>
      </c>
      <c r="C24" s="5">
        <f t="shared" si="6"/>
        <v>3.21875</v>
      </c>
      <c r="D24" s="5">
        <f t="shared" si="7"/>
        <v>3.203125</v>
      </c>
      <c r="E24" s="5">
        <f t="shared" si="2"/>
        <v>-0.42160573578803451</v>
      </c>
      <c r="F24" s="5">
        <f t="shared" si="2"/>
        <v>0.21606443330685821</v>
      </c>
      <c r="G24" s="5">
        <f t="shared" si="2"/>
        <v>-0.10410353645155368</v>
      </c>
      <c r="I24" s="5">
        <f t="shared" si="8"/>
        <v>5</v>
      </c>
      <c r="J24" s="5">
        <f t="shared" si="9"/>
        <v>7.46875</v>
      </c>
      <c r="K24" s="5">
        <f t="shared" si="10"/>
        <v>7.5</v>
      </c>
      <c r="L24" s="5">
        <f t="shared" si="11"/>
        <v>7.484375</v>
      </c>
      <c r="M24" s="5">
        <f t="shared" si="3"/>
        <v>3.1554035475757587</v>
      </c>
      <c r="N24" s="5">
        <f t="shared" si="3"/>
        <v>-1.5537934927351102</v>
      </c>
      <c r="O24" s="5">
        <f t="shared" si="3"/>
        <v>0.8264500659092846</v>
      </c>
    </row>
    <row r="25" spans="1:16" x14ac:dyDescent="0.25">
      <c r="A25" s="5">
        <f t="shared" si="4"/>
        <v>6</v>
      </c>
      <c r="B25" s="5">
        <f t="shared" si="5"/>
        <v>3.203125</v>
      </c>
      <c r="C25" s="5">
        <f t="shared" si="6"/>
        <v>3.21875</v>
      </c>
      <c r="D25" s="5">
        <f t="shared" si="7"/>
        <v>3.2109375</v>
      </c>
      <c r="E25" s="5">
        <f t="shared" si="2"/>
        <v>-0.10410353645155368</v>
      </c>
      <c r="F25" s="5">
        <f t="shared" si="2"/>
        <v>0.21606443330685821</v>
      </c>
      <c r="G25" s="5">
        <f t="shared" si="2"/>
        <v>5.5647382134296208E-2</v>
      </c>
      <c r="I25" s="5">
        <f t="shared" si="8"/>
        <v>6</v>
      </c>
      <c r="J25" s="5">
        <f t="shared" si="9"/>
        <v>7.484375</v>
      </c>
      <c r="K25" s="5">
        <f t="shared" si="10"/>
        <v>7.5</v>
      </c>
      <c r="L25" s="5">
        <f t="shared" si="11"/>
        <v>7.4921875</v>
      </c>
      <c r="M25" s="5">
        <f t="shared" si="3"/>
        <v>0.8264500659092846</v>
      </c>
      <c r="N25" s="5">
        <f t="shared" si="3"/>
        <v>-1.5537934927351102</v>
      </c>
      <c r="O25" s="5">
        <f t="shared" si="3"/>
        <v>-0.35721317290773413</v>
      </c>
    </row>
    <row r="26" spans="1:16" x14ac:dyDescent="0.25">
      <c r="A26" s="5">
        <f t="shared" si="4"/>
        <v>7</v>
      </c>
      <c r="B26" s="5">
        <f t="shared" si="5"/>
        <v>3.203125</v>
      </c>
      <c r="C26" s="5">
        <f t="shared" si="6"/>
        <v>3.2109375</v>
      </c>
      <c r="D26" s="5">
        <f t="shared" si="7"/>
        <v>3.20703125</v>
      </c>
      <c r="E26" s="5">
        <f t="shared" si="2"/>
        <v>-0.10410353645155368</v>
      </c>
      <c r="F26" s="5">
        <f t="shared" si="2"/>
        <v>5.5647382134296208E-2</v>
      </c>
      <c r="G26" s="5">
        <f t="shared" si="2"/>
        <v>-2.4311363882567605E-2</v>
      </c>
      <c r="I26" s="5">
        <f t="shared" si="8"/>
        <v>7</v>
      </c>
      <c r="J26" s="5">
        <f t="shared" si="9"/>
        <v>7.484375</v>
      </c>
      <c r="K26" s="5">
        <f t="shared" si="10"/>
        <v>7.4921875</v>
      </c>
      <c r="L26" s="5">
        <f t="shared" si="11"/>
        <v>7.48828125</v>
      </c>
      <c r="M26" s="5">
        <f t="shared" si="3"/>
        <v>0.8264500659092846</v>
      </c>
      <c r="N26" s="5">
        <f t="shared" si="3"/>
        <v>-0.35721317290773413</v>
      </c>
      <c r="O26" s="5">
        <f t="shared" si="3"/>
        <v>0.23622714772449172</v>
      </c>
    </row>
    <row r="27" spans="1:16" x14ac:dyDescent="0.25">
      <c r="A27" s="5">
        <f t="shared" si="4"/>
        <v>8</v>
      </c>
      <c r="B27" s="5">
        <f t="shared" si="5"/>
        <v>3.20703125</v>
      </c>
      <c r="C27" s="5">
        <f t="shared" si="6"/>
        <v>3.2109375</v>
      </c>
      <c r="D27" s="5">
        <f t="shared" si="7"/>
        <v>3.208984375</v>
      </c>
      <c r="E27" s="5">
        <f t="shared" si="2"/>
        <v>-2.4311363882567605E-2</v>
      </c>
      <c r="F27" s="5">
        <f t="shared" si="2"/>
        <v>5.5647382134296208E-2</v>
      </c>
      <c r="G27" s="5">
        <f t="shared" si="2"/>
        <v>1.5647189915139137E-2</v>
      </c>
      <c r="I27" s="5">
        <f t="shared" si="8"/>
        <v>8</v>
      </c>
      <c r="J27" s="5">
        <f t="shared" si="9"/>
        <v>7.48828125</v>
      </c>
      <c r="K27" s="5">
        <f t="shared" si="10"/>
        <v>7.4921875</v>
      </c>
      <c r="L27" s="5">
        <f t="shared" si="11"/>
        <v>7.490234375</v>
      </c>
      <c r="M27" s="5">
        <f t="shared" si="3"/>
        <v>0.23622714772449172</v>
      </c>
      <c r="N27" s="5">
        <f t="shared" si="3"/>
        <v>-0.35721317290773413</v>
      </c>
      <c r="O27" s="5">
        <f t="shared" si="3"/>
        <v>-6.0090097039847024E-2</v>
      </c>
    </row>
    <row r="28" spans="1:16" x14ac:dyDescent="0.25">
      <c r="A28" s="10">
        <f t="shared" si="4"/>
        <v>9</v>
      </c>
      <c r="B28" s="10">
        <f t="shared" si="5"/>
        <v>3.20703125</v>
      </c>
      <c r="C28" s="10">
        <f t="shared" si="6"/>
        <v>3.208984375</v>
      </c>
      <c r="D28" s="10">
        <f t="shared" si="7"/>
        <v>3.2080078125</v>
      </c>
      <c r="E28" s="10">
        <f t="shared" si="2"/>
        <v>-2.4311363882567605E-2</v>
      </c>
      <c r="F28" s="10">
        <f t="shared" si="2"/>
        <v>1.5647189915139137E-2</v>
      </c>
      <c r="G28" s="10">
        <f t="shared" si="2"/>
        <v>-4.3372920982065466E-3</v>
      </c>
      <c r="H28" s="3" t="s">
        <v>23</v>
      </c>
      <c r="I28" s="5">
        <f t="shared" si="8"/>
        <v>9</v>
      </c>
      <c r="J28" s="5">
        <f t="shared" si="9"/>
        <v>7.48828125</v>
      </c>
      <c r="K28" s="5">
        <f t="shared" si="10"/>
        <v>7.490234375</v>
      </c>
      <c r="L28" s="5">
        <f t="shared" si="11"/>
        <v>7.4892578125</v>
      </c>
      <c r="M28" s="5">
        <f t="shared" si="3"/>
        <v>0.23622714772449172</v>
      </c>
      <c r="N28" s="5">
        <f t="shared" si="3"/>
        <v>-6.0090097039847024E-2</v>
      </c>
      <c r="O28" s="5">
        <f t="shared" si="3"/>
        <v>8.8169161606231228E-2</v>
      </c>
    </row>
    <row r="29" spans="1:16" x14ac:dyDescent="0.25">
      <c r="I29" s="5">
        <f t="shared" si="8"/>
        <v>10</v>
      </c>
      <c r="J29" s="5">
        <f t="shared" si="9"/>
        <v>7.4892578125</v>
      </c>
      <c r="K29" s="5">
        <f t="shared" si="10"/>
        <v>7.490234375</v>
      </c>
      <c r="L29" s="5">
        <f t="shared" si="11"/>
        <v>7.48974609375</v>
      </c>
      <c r="M29" s="5">
        <f t="shared" si="3"/>
        <v>8.8169161606231228E-2</v>
      </c>
      <c r="N29" s="5">
        <f t="shared" si="3"/>
        <v>-6.0090097039847024E-2</v>
      </c>
      <c r="O29" s="5">
        <f t="shared" si="3"/>
        <v>1.406470292135964E-2</v>
      </c>
    </row>
    <row r="30" spans="1:16" x14ac:dyDescent="0.25">
      <c r="I30" s="5">
        <f t="shared" si="8"/>
        <v>11</v>
      </c>
      <c r="J30" s="5">
        <f t="shared" si="9"/>
        <v>7.48974609375</v>
      </c>
      <c r="K30" s="5">
        <f t="shared" si="10"/>
        <v>7.490234375</v>
      </c>
      <c r="L30" s="5">
        <f t="shared" si="11"/>
        <v>7.489990234375</v>
      </c>
      <c r="M30" s="5">
        <f t="shared" si="3"/>
        <v>1.406470292135964E-2</v>
      </c>
      <c r="N30" s="5">
        <f t="shared" si="3"/>
        <v>-6.0090097039847024E-2</v>
      </c>
      <c r="O30" s="5">
        <f t="shared" si="3"/>
        <v>-2.300640295266021E-2</v>
      </c>
    </row>
    <row r="31" spans="1:16" x14ac:dyDescent="0.25">
      <c r="I31" s="10">
        <f t="shared" si="8"/>
        <v>12</v>
      </c>
      <c r="J31" s="10">
        <f t="shared" si="9"/>
        <v>7.48974609375</v>
      </c>
      <c r="K31" s="10">
        <f t="shared" si="10"/>
        <v>7.489990234375</v>
      </c>
      <c r="L31" s="10">
        <f t="shared" si="11"/>
        <v>7.4898681640625</v>
      </c>
      <c r="M31" s="10">
        <f t="shared" si="3"/>
        <v>1.406470292135964E-2</v>
      </c>
      <c r="N31" s="10">
        <f t="shared" si="3"/>
        <v>-2.300640295266021E-2</v>
      </c>
      <c r="O31" s="10">
        <f t="shared" si="3"/>
        <v>-4.4692766700791253E-3</v>
      </c>
      <c r="P31" s="3" t="s">
        <v>23</v>
      </c>
    </row>
  </sheetData>
  <mergeCells count="5">
    <mergeCell ref="A1:N1"/>
    <mergeCell ref="B3:N3"/>
    <mergeCell ref="B5:D5"/>
    <mergeCell ref="D10:J10"/>
    <mergeCell ref="D11:J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0999-E3E1-4C71-9C26-121DD60DD7D2}">
  <dimension ref="A1:H22"/>
  <sheetViews>
    <sheetView workbookViewId="0">
      <selection activeCell="H26" sqref="H26"/>
    </sheetView>
  </sheetViews>
  <sheetFormatPr baseColWidth="10" defaultColWidth="9.140625" defaultRowHeight="15" x14ac:dyDescent="0.25"/>
  <cols>
    <col min="1" max="8" width="14" customWidth="1"/>
  </cols>
  <sheetData>
    <row r="1" spans="1:8" ht="18.75" x14ac:dyDescent="0.3">
      <c r="A1" s="1" t="s">
        <v>34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1</v>
      </c>
      <c r="B3" s="2" t="s">
        <v>2</v>
      </c>
      <c r="C3" s="2"/>
      <c r="D3" s="2"/>
      <c r="E3" s="2"/>
      <c r="F3" s="2"/>
      <c r="G3" s="2"/>
      <c r="H3" s="2"/>
    </row>
    <row r="5" spans="1:8" x14ac:dyDescent="0.25">
      <c r="A5" s="3" t="s">
        <v>33</v>
      </c>
      <c r="B5" s="2" t="s">
        <v>4</v>
      </c>
      <c r="C5" s="2"/>
      <c r="D5" s="2"/>
      <c r="F5" s="6" t="s">
        <v>32</v>
      </c>
    </row>
    <row r="6" spans="1:8" x14ac:dyDescent="0.25">
      <c r="A6" s="3" t="s">
        <v>31</v>
      </c>
      <c r="B6" s="2" t="s">
        <v>30</v>
      </c>
      <c r="C6" s="2"/>
      <c r="D6" s="2"/>
      <c r="F6" s="6" t="s">
        <v>29</v>
      </c>
    </row>
    <row r="8" spans="1:8" x14ac:dyDescent="0.25">
      <c r="A8" s="3" t="s">
        <v>28</v>
      </c>
    </row>
    <row r="9" spans="1:8" x14ac:dyDescent="0.25">
      <c r="A9" s="4" t="s">
        <v>16</v>
      </c>
      <c r="B9" s="4" t="s">
        <v>26</v>
      </c>
      <c r="C9" s="4" t="s">
        <v>25</v>
      </c>
      <c r="D9" s="4" t="s">
        <v>24</v>
      </c>
      <c r="E9" s="4" t="s">
        <v>6</v>
      </c>
      <c r="F9" s="4" t="s">
        <v>7</v>
      </c>
    </row>
    <row r="10" spans="1:8" x14ac:dyDescent="0.25">
      <c r="A10" s="5">
        <v>0</v>
      </c>
      <c r="B10" s="5">
        <f>3</f>
        <v>3</v>
      </c>
      <c r="C10" s="5">
        <f>B10^3-EXP(0.8*B10)-20</f>
        <v>-4.0231763806416048</v>
      </c>
      <c r="D10" s="5">
        <f>3*B10^2-0.8*EXP(0.8*B10)</f>
        <v>18.181458895486713</v>
      </c>
      <c r="E10" s="5">
        <v>0</v>
      </c>
      <c r="F10" s="5">
        <f>E10^3-EXP(0.8*E10)-20</f>
        <v>-21</v>
      </c>
    </row>
    <row r="11" spans="1:8" x14ac:dyDescent="0.25">
      <c r="A11" s="5">
        <f>A10+1</f>
        <v>1</v>
      </c>
      <c r="B11" s="5">
        <f>B10-C10/D10</f>
        <v>3.2212790735753498</v>
      </c>
      <c r="C11" s="5">
        <f>B11^3-EXP(0.8*B11)-20</f>
        <v>0.26813753807199703</v>
      </c>
      <c r="D11" s="5">
        <f>3*B11^2-0.8*EXP(0.8*B11)</f>
        <v>20.603586923612387</v>
      </c>
      <c r="E11" s="5">
        <v>1</v>
      </c>
      <c r="F11" s="5">
        <f>E11^3-EXP(0.8*E11)-20</f>
        <v>-21.225540928492467</v>
      </c>
    </row>
    <row r="12" spans="1:8" x14ac:dyDescent="0.25">
      <c r="A12" s="5">
        <f>A11+1</f>
        <v>2</v>
      </c>
      <c r="B12" s="5">
        <f>B11-C11/D11</f>
        <v>3.2082649542831065</v>
      </c>
      <c r="C12" s="5">
        <f>B12^3-EXP(0.8*B12)-20</f>
        <v>9.2387586991549142E-4</v>
      </c>
      <c r="D12" s="5">
        <f>3*B12^2-0.8*EXP(0.8*B12)</f>
        <v>20.461586566493899</v>
      </c>
      <c r="E12" s="5">
        <v>2</v>
      </c>
      <c r="F12" s="5">
        <f>E12^3-EXP(0.8*E12)-20</f>
        <v>-16.953032424395115</v>
      </c>
    </row>
    <row r="13" spans="1:8" x14ac:dyDescent="0.25">
      <c r="A13" s="10">
        <f>A12+1</f>
        <v>3</v>
      </c>
      <c r="B13" s="10">
        <f>B12-C12/D12</f>
        <v>3.2082198025610289</v>
      </c>
      <c r="C13" s="10">
        <f>B13^3-EXP(0.8*B13)-20</f>
        <v>1.1126843446618295E-8</v>
      </c>
      <c r="D13" s="10">
        <f>3*B13^2-0.8*EXP(0.8*B13)</f>
        <v>20.461093701114216</v>
      </c>
      <c r="E13" s="5">
        <v>3</v>
      </c>
      <c r="F13" s="5">
        <f>E13^3-EXP(0.8*E13)-20</f>
        <v>-4.0231763806416048</v>
      </c>
    </row>
    <row r="14" spans="1:8" x14ac:dyDescent="0.25">
      <c r="E14" s="5">
        <v>4</v>
      </c>
      <c r="F14" s="5">
        <f>E14^3-EXP(0.8*E14)-20</f>
        <v>19.467469802890648</v>
      </c>
    </row>
    <row r="15" spans="1:8" x14ac:dyDescent="0.25">
      <c r="E15" s="5">
        <v>5</v>
      </c>
      <c r="F15" s="5">
        <f>E15^3-EXP(0.8*E15)-20</f>
        <v>50.401849966855764</v>
      </c>
    </row>
    <row r="16" spans="1:8" x14ac:dyDescent="0.25">
      <c r="A16" s="3" t="s">
        <v>27</v>
      </c>
      <c r="E16" s="5">
        <v>6</v>
      </c>
      <c r="F16" s="5">
        <f>E16^3-EXP(0.8*E16)-20</f>
        <v>74.489582481265032</v>
      </c>
    </row>
    <row r="17" spans="1:6" x14ac:dyDescent="0.25">
      <c r="A17" s="4" t="s">
        <v>16</v>
      </c>
      <c r="B17" s="4" t="s">
        <v>26</v>
      </c>
      <c r="C17" s="4" t="s">
        <v>25</v>
      </c>
      <c r="D17" s="4" t="s">
        <v>24</v>
      </c>
      <c r="E17" s="5">
        <v>7</v>
      </c>
      <c r="F17" s="5">
        <f>E17^3-EXP(0.8*E17)-20</f>
        <v>52.573592573847236</v>
      </c>
    </row>
    <row r="18" spans="1:6" x14ac:dyDescent="0.25">
      <c r="A18" s="5">
        <f>0</f>
        <v>0</v>
      </c>
      <c r="B18" s="5">
        <f>8</f>
        <v>8</v>
      </c>
      <c r="C18" s="5">
        <f>B18^3-EXP(0.8*B18)-20</f>
        <v>-109.84503787208223</v>
      </c>
      <c r="D18" s="5">
        <f>3*B18^2-0.8*EXP(0.8*B18)</f>
        <v>-289.47603029766583</v>
      </c>
      <c r="E18" s="5">
        <v>8</v>
      </c>
      <c r="F18" s="5">
        <f>E18^3-EXP(0.8*E18)-20</f>
        <v>-109.84503787208223</v>
      </c>
    </row>
    <row r="19" spans="1:6" x14ac:dyDescent="0.25">
      <c r="A19" s="5">
        <f>A18+1</f>
        <v>1</v>
      </c>
      <c r="B19" s="5">
        <f>B18-C18/D18</f>
        <v>7.6205383991236531</v>
      </c>
      <c r="C19" s="5">
        <f>B19^3-EXP(0.8*B19)-20</f>
        <v>-21.724695141008795</v>
      </c>
      <c r="D19" s="5">
        <f>3*B19^2-0.8*EXP(0.8*B19)</f>
        <v>-181.19755570956738</v>
      </c>
    </row>
    <row r="20" spans="1:6" x14ac:dyDescent="0.25">
      <c r="A20" s="5">
        <f>A19+1</f>
        <v>2</v>
      </c>
      <c r="B20" s="5">
        <f>B19-C19/D19</f>
        <v>7.500643320760509</v>
      </c>
      <c r="C20" s="5">
        <f>B20^3-EXP(0.8*B20)-20</f>
        <v>-1.6529045343864368</v>
      </c>
      <c r="D20" s="5">
        <f>3*B20^2-0.8*EXP(0.8*B20)</f>
        <v>-154.13022870409199</v>
      </c>
    </row>
    <row r="21" spans="1:6" x14ac:dyDescent="0.25">
      <c r="A21" s="5">
        <f>A20+1</f>
        <v>3</v>
      </c>
      <c r="B21" s="5">
        <f>B20-C20/D20</f>
        <v>7.4899192431523467</v>
      </c>
      <c r="C21" s="5">
        <f>B21^3-EXP(0.8*B21)-20</f>
        <v>-1.2225567121504355E-2</v>
      </c>
      <c r="D21" s="5">
        <f>3*B21^2-0.8*EXP(0.8*B21)</f>
        <v>-151.85403584274911</v>
      </c>
    </row>
    <row r="22" spans="1:6" x14ac:dyDescent="0.25">
      <c r="A22" s="10">
        <f>A21+1</f>
        <v>4</v>
      </c>
      <c r="B22" s="10">
        <f>B21-C21/D21</f>
        <v>7.4898387344779893</v>
      </c>
      <c r="C22" s="10">
        <f>B22^3-EXP(0.8*B22)-20</f>
        <v>-6.8438282596616773E-7</v>
      </c>
      <c r="D22" s="10">
        <f>3*B22^2-0.8*EXP(0.8*B22)</f>
        <v>-151.83703458094919</v>
      </c>
    </row>
  </sheetData>
  <mergeCells count="4">
    <mergeCell ref="A1:H1"/>
    <mergeCell ref="B3:H3"/>
    <mergeCell ref="B5:D5"/>
    <mergeCell ref="B6:D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AF73-96B9-428A-8BE5-B02EBDA29C1D}">
  <dimension ref="A1:H30"/>
  <sheetViews>
    <sheetView workbookViewId="0">
      <selection activeCell="H36" sqref="H36"/>
    </sheetView>
  </sheetViews>
  <sheetFormatPr baseColWidth="10" defaultColWidth="9.140625" defaultRowHeight="15" x14ac:dyDescent="0.25"/>
  <cols>
    <col min="1" max="1" width="16.140625" customWidth="1"/>
    <col min="2" max="8" width="14" customWidth="1"/>
  </cols>
  <sheetData>
    <row r="1" spans="1:8" ht="18.75" x14ac:dyDescent="0.3">
      <c r="A1" s="1" t="s">
        <v>35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1</v>
      </c>
      <c r="B3" s="2" t="s">
        <v>2</v>
      </c>
      <c r="C3" s="2"/>
      <c r="D3" s="2"/>
      <c r="E3" s="2"/>
      <c r="F3" s="2"/>
      <c r="G3" s="2"/>
      <c r="H3" s="2"/>
    </row>
    <row r="5" spans="1:8" x14ac:dyDescent="0.25">
      <c r="A5" s="3" t="s">
        <v>3</v>
      </c>
      <c r="B5" s="2" t="s">
        <v>4</v>
      </c>
      <c r="C5" s="2"/>
      <c r="D5" s="2"/>
    </row>
    <row r="7" spans="1:8" x14ac:dyDescent="0.25">
      <c r="A7" s="3" t="s">
        <v>5</v>
      </c>
    </row>
    <row r="9" spans="1:8" x14ac:dyDescent="0.25">
      <c r="A9" s="4" t="s">
        <v>6</v>
      </c>
      <c r="B9" s="4" t="s">
        <v>7</v>
      </c>
    </row>
    <row r="10" spans="1:8" x14ac:dyDescent="0.25">
      <c r="A10" s="5">
        <v>0</v>
      </c>
      <c r="B10" s="5">
        <f>A10^3-EXP(0.8*A10)-20</f>
        <v>-21</v>
      </c>
      <c r="D10" s="2" t="s">
        <v>8</v>
      </c>
      <c r="E10" s="2"/>
      <c r="F10" s="2"/>
      <c r="G10" s="2"/>
      <c r="H10" s="2"/>
    </row>
    <row r="11" spans="1:8" x14ac:dyDescent="0.25">
      <c r="A11" s="5">
        <v>1</v>
      </c>
      <c r="B11" s="5">
        <f t="shared" ref="B11:B16" si="0">A11^3-EXP(0.8*A11)-20</f>
        <v>-21.225540928492467</v>
      </c>
      <c r="D11" s="2" t="s">
        <v>11</v>
      </c>
      <c r="E11" s="2"/>
      <c r="F11" s="2"/>
      <c r="G11" s="2"/>
      <c r="H11" s="2"/>
    </row>
    <row r="12" spans="1:8" x14ac:dyDescent="0.25">
      <c r="A12" s="5">
        <v>2</v>
      </c>
      <c r="B12" s="5">
        <f t="shared" si="0"/>
        <v>-16.953032424395115</v>
      </c>
    </row>
    <row r="13" spans="1:8" x14ac:dyDescent="0.25">
      <c r="A13" s="9">
        <v>3</v>
      </c>
      <c r="B13" s="5">
        <f t="shared" si="0"/>
        <v>-4.0231763806416048</v>
      </c>
      <c r="D13" s="3" t="s">
        <v>36</v>
      </c>
      <c r="E13" s="6" t="s">
        <v>32</v>
      </c>
    </row>
    <row r="14" spans="1:8" x14ac:dyDescent="0.25">
      <c r="A14" s="9">
        <v>4</v>
      </c>
      <c r="B14" s="5">
        <f t="shared" si="0"/>
        <v>19.467469802890648</v>
      </c>
      <c r="D14" t="s">
        <v>12</v>
      </c>
      <c r="E14" s="6" t="s">
        <v>37</v>
      </c>
    </row>
    <row r="15" spans="1:8" x14ac:dyDescent="0.25">
      <c r="A15" s="5">
        <v>5</v>
      </c>
      <c r="B15" s="5">
        <f t="shared" si="0"/>
        <v>50.401849966855764</v>
      </c>
    </row>
    <row r="16" spans="1:8" x14ac:dyDescent="0.25">
      <c r="A16" s="5">
        <v>6</v>
      </c>
      <c r="B16" s="5">
        <f t="shared" si="0"/>
        <v>74.489582481265032</v>
      </c>
    </row>
    <row r="17" spans="1:8" x14ac:dyDescent="0.25">
      <c r="A17" s="8" t="s">
        <v>14</v>
      </c>
      <c r="B17" s="9">
        <v>52.573592573847293</v>
      </c>
      <c r="E17" s="3" t="s">
        <v>15</v>
      </c>
    </row>
    <row r="18" spans="1:8" x14ac:dyDescent="0.25">
      <c r="A18" s="4" t="s">
        <v>16</v>
      </c>
      <c r="B18" s="4" t="s">
        <v>26</v>
      </c>
      <c r="C18" s="4" t="s">
        <v>25</v>
      </c>
      <c r="E18" s="4" t="s">
        <v>16</v>
      </c>
      <c r="F18" s="4" t="s">
        <v>26</v>
      </c>
      <c r="G18" s="4" t="s">
        <v>25</v>
      </c>
    </row>
    <row r="19" spans="1:8" x14ac:dyDescent="0.25">
      <c r="A19" s="5">
        <f>0</f>
        <v>0</v>
      </c>
      <c r="B19" s="5">
        <f>3</f>
        <v>3</v>
      </c>
      <c r="C19" s="5">
        <f>B19^3-EXP(0.8*B19)-20</f>
        <v>-4.0231763806416048</v>
      </c>
      <c r="E19" s="5">
        <f>0</f>
        <v>0</v>
      </c>
      <c r="F19" s="5">
        <f>7</f>
        <v>7</v>
      </c>
      <c r="G19" s="5">
        <f>F19^3-EXP(0.8*F19)-20</f>
        <v>52.573592573847236</v>
      </c>
    </row>
    <row r="20" spans="1:8" x14ac:dyDescent="0.25">
      <c r="A20" s="5">
        <f>1</f>
        <v>1</v>
      </c>
      <c r="B20" s="5">
        <f>4</f>
        <v>4</v>
      </c>
      <c r="C20" s="5">
        <f>B20^3-EXP(0.8*B20)-20</f>
        <v>19.467469802890648</v>
      </c>
      <c r="E20" s="5">
        <f>1</f>
        <v>1</v>
      </c>
      <c r="F20" s="5">
        <f>8</f>
        <v>8</v>
      </c>
      <c r="G20" s="5">
        <f>F20^3-EXP(0.8*F20)-20</f>
        <v>-109.84503787208223</v>
      </c>
    </row>
    <row r="21" spans="1:8" x14ac:dyDescent="0.25">
      <c r="A21" s="5">
        <f>A20+1</f>
        <v>2</v>
      </c>
      <c r="B21" s="5">
        <f>B20-C20*(B19-B20)/(C19-C20)</f>
        <v>3.1712671652030582</v>
      </c>
      <c r="C21" s="5">
        <f>B21^3-EXP(0.8*B21)-20</f>
        <v>-0.74863343680182481</v>
      </c>
      <c r="E21" s="5">
        <f>E20+1</f>
        <v>2</v>
      </c>
      <c r="F21" s="5">
        <f>F20-G20*(F19-F20)/(G19-G20)</f>
        <v>7.3236918845424537</v>
      </c>
      <c r="G21" s="5">
        <f>F21^3-EXP(0.8*F21)-20</f>
        <v>22.459621607538395</v>
      </c>
    </row>
    <row r="22" spans="1:8" x14ac:dyDescent="0.25">
      <c r="A22" s="5">
        <f t="shared" ref="A22:A24" si="1">A21+1</f>
        <v>3</v>
      </c>
      <c r="B22" s="5">
        <f t="shared" ref="B22:B24" si="2">B21-C21*(B20-B21)/(C20-C21)</f>
        <v>3.2019564183666658</v>
      </c>
      <c r="C22" s="5">
        <f t="shared" ref="C22:C24" si="3">B22^3-EXP(0.8*B22)-20</f>
        <v>-0.12794153995860569</v>
      </c>
      <c r="E22" s="5">
        <f t="shared" ref="E22:E26" si="4">E21+1</f>
        <v>3</v>
      </c>
      <c r="F22" s="5">
        <f t="shared" ref="F22:F26" si="5">F21-G21*(F20-F21)/(G20-G21)</f>
        <v>7.4384998166517802</v>
      </c>
      <c r="G22" s="5">
        <f t="shared" ref="G22:G26" si="6">F22^3-EXP(0.8*F22)-20</f>
        <v>7.5213043492045699</v>
      </c>
    </row>
    <row r="23" spans="1:8" x14ac:dyDescent="0.25">
      <c r="A23" s="5">
        <f t="shared" si="1"/>
        <v>4</v>
      </c>
      <c r="B23" s="5">
        <f t="shared" si="2"/>
        <v>3.2082823110195275</v>
      </c>
      <c r="C23" s="5">
        <f t="shared" si="3"/>
        <v>1.2790238789150976E-3</v>
      </c>
      <c r="E23" s="5">
        <f t="shared" si="4"/>
        <v>4</v>
      </c>
      <c r="F23" s="5">
        <f t="shared" si="5"/>
        <v>7.4963045468743443</v>
      </c>
      <c r="G23" s="5">
        <f t="shared" si="6"/>
        <v>-0.98617349676993626</v>
      </c>
    </row>
    <row r="24" spans="1:8" x14ac:dyDescent="0.25">
      <c r="A24" s="11">
        <f t="shared" si="1"/>
        <v>5</v>
      </c>
      <c r="B24" s="11">
        <f t="shared" si="2"/>
        <v>3.208219697395827</v>
      </c>
      <c r="C24" s="11">
        <f t="shared" si="3"/>
        <v>-2.1406681440794273E-6</v>
      </c>
      <c r="E24" s="5">
        <f t="shared" si="4"/>
        <v>5</v>
      </c>
      <c r="F24" s="5">
        <f t="shared" si="5"/>
        <v>7.4896039131535757</v>
      </c>
      <c r="G24" s="5">
        <f t="shared" si="6"/>
        <v>3.5648067670081218E-2</v>
      </c>
    </row>
    <row r="25" spans="1:8" x14ac:dyDescent="0.25">
      <c r="E25" s="5">
        <f t="shared" si="4"/>
        <v>6</v>
      </c>
      <c r="F25" s="5">
        <f t="shared" si="5"/>
        <v>7.4898376767113461</v>
      </c>
      <c r="G25" s="5">
        <f t="shared" si="6"/>
        <v>1.5992364939165782E-4</v>
      </c>
    </row>
    <row r="26" spans="1:8" x14ac:dyDescent="0.25">
      <c r="E26" s="11">
        <f t="shared" si="4"/>
        <v>7</v>
      </c>
      <c r="F26" s="11">
        <f t="shared" si="5"/>
        <v>7.4898387301426341</v>
      </c>
      <c r="G26" s="11">
        <f t="shared" si="6"/>
        <v>-2.6115685614058748E-8</v>
      </c>
    </row>
    <row r="29" spans="1:8" x14ac:dyDescent="0.25">
      <c r="A29" s="3" t="s">
        <v>38</v>
      </c>
    </row>
    <row r="30" spans="1:8" x14ac:dyDescent="0.25">
      <c r="A30" s="2" t="s">
        <v>39</v>
      </c>
      <c r="B30" s="2"/>
      <c r="C30" s="2"/>
      <c r="D30" s="2"/>
      <c r="E30" s="2"/>
      <c r="F30" s="2"/>
      <c r="G30" s="2"/>
      <c r="H30" s="2"/>
    </row>
  </sheetData>
  <mergeCells count="6">
    <mergeCell ref="A1:H1"/>
    <mergeCell ref="B3:H3"/>
    <mergeCell ref="B5:D5"/>
    <mergeCell ref="D10:H10"/>
    <mergeCell ref="D11:H11"/>
    <mergeCell ref="A30:H3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A4D7-3CCE-4B4E-BCA3-B9F7569C9BF6}">
  <dimension ref="A1:I26"/>
  <sheetViews>
    <sheetView workbookViewId="0">
      <selection activeCell="D15" sqref="D15"/>
    </sheetView>
  </sheetViews>
  <sheetFormatPr baseColWidth="10" defaultColWidth="9.140625" defaultRowHeight="15" x14ac:dyDescent="0.25"/>
  <cols>
    <col min="1" max="9" width="14" customWidth="1"/>
    <col min="10" max="10" width="13" customWidth="1"/>
  </cols>
  <sheetData>
    <row r="1" spans="1:8" ht="18.75" x14ac:dyDescent="0.3">
      <c r="A1" s="1" t="s">
        <v>40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41</v>
      </c>
    </row>
    <row r="4" spans="1:8" x14ac:dyDescent="0.25">
      <c r="A4" s="2" t="s">
        <v>42</v>
      </c>
      <c r="B4" s="2"/>
      <c r="C4" s="2"/>
      <c r="D4" s="2"/>
    </row>
    <row r="6" spans="1:8" x14ac:dyDescent="0.25">
      <c r="A6" t="s">
        <v>43</v>
      </c>
    </row>
    <row r="7" spans="1:8" x14ac:dyDescent="0.25">
      <c r="A7" t="s">
        <v>44</v>
      </c>
    </row>
    <row r="8" spans="1:8" x14ac:dyDescent="0.25">
      <c r="A8" t="s">
        <v>45</v>
      </c>
    </row>
    <row r="10" spans="1:8" x14ac:dyDescent="0.25">
      <c r="A10" t="s">
        <v>46</v>
      </c>
    </row>
    <row r="11" spans="1:8" x14ac:dyDescent="0.25">
      <c r="A11" t="s">
        <v>47</v>
      </c>
    </row>
    <row r="12" spans="1:8" x14ac:dyDescent="0.25">
      <c r="A12" t="s">
        <v>48</v>
      </c>
    </row>
    <row r="15" spans="1:8" x14ac:dyDescent="0.25">
      <c r="A15" s="4" t="s">
        <v>6</v>
      </c>
      <c r="B15" s="4" t="s">
        <v>49</v>
      </c>
      <c r="H15" s="4" t="s">
        <v>50</v>
      </c>
    </row>
    <row r="16" spans="1:8" x14ac:dyDescent="0.25">
      <c r="A16" s="5">
        <f>0</f>
        <v>0</v>
      </c>
      <c r="B16" s="5">
        <f>3*SIN(0.5*A16)-0.5*A16+2</f>
        <v>2</v>
      </c>
      <c r="H16" s="5">
        <v>5.0000000000000001E-3</v>
      </c>
    </row>
    <row r="17" spans="1:9" x14ac:dyDescent="0.25">
      <c r="A17" s="5">
        <f>A16+1</f>
        <v>1</v>
      </c>
      <c r="B17" s="5">
        <f t="shared" ref="B17:B24" si="0">3*SIN(0.5*A17)-0.5*A17+2</f>
        <v>2.938276615812609</v>
      </c>
      <c r="C17" s="12" t="s">
        <v>16</v>
      </c>
      <c r="D17" s="12" t="s">
        <v>17</v>
      </c>
      <c r="E17" s="12" t="s">
        <v>18</v>
      </c>
      <c r="F17" s="12" t="s">
        <v>19</v>
      </c>
      <c r="G17" s="12" t="s">
        <v>20</v>
      </c>
      <c r="H17" s="12" t="s">
        <v>21</v>
      </c>
      <c r="I17" s="12" t="s">
        <v>22</v>
      </c>
    </row>
    <row r="18" spans="1:9" x14ac:dyDescent="0.25">
      <c r="A18" s="5">
        <f t="shared" ref="A18:A24" si="1">A17+1</f>
        <v>2</v>
      </c>
      <c r="B18" s="13">
        <f t="shared" si="0"/>
        <v>3.5244129544236893</v>
      </c>
      <c r="C18" s="14">
        <f>0</f>
        <v>0</v>
      </c>
      <c r="D18" s="14">
        <f>5</f>
        <v>5</v>
      </c>
      <c r="E18" s="14">
        <f>6</f>
        <v>6</v>
      </c>
      <c r="F18" s="14">
        <f>(D18+E18)/2</f>
        <v>5.5</v>
      </c>
      <c r="G18" s="14">
        <f t="shared" ref="G18:I25" si="2">3*SIN(0.5*D18)-0.5*D18+2</f>
        <v>1.2954164323118698</v>
      </c>
      <c r="H18" s="15">
        <f t="shared" si="2"/>
        <v>-0.57663997582039839</v>
      </c>
      <c r="I18" s="14">
        <f t="shared" si="2"/>
        <v>0.39498297615699496</v>
      </c>
    </row>
    <row r="19" spans="1:9" x14ac:dyDescent="0.25">
      <c r="A19" s="5">
        <f t="shared" si="1"/>
        <v>3</v>
      </c>
      <c r="B19" s="13">
        <f t="shared" si="0"/>
        <v>3.4924849598121632</v>
      </c>
      <c r="C19" s="14">
        <f>C18+1</f>
        <v>1</v>
      </c>
      <c r="D19" s="14">
        <f>IF(G18*I18&lt;0,D18,F18)</f>
        <v>5.5</v>
      </c>
      <c r="E19" s="14">
        <f>IF(G18*I18&lt;0,F18,E18)</f>
        <v>6</v>
      </c>
      <c r="F19" s="14">
        <f>(D19+E19)/2</f>
        <v>5.75</v>
      </c>
      <c r="G19" s="14">
        <f t="shared" si="2"/>
        <v>0.39498297615699496</v>
      </c>
      <c r="H19" s="14">
        <f t="shared" si="2"/>
        <v>-0.57663997582039839</v>
      </c>
      <c r="I19" s="14">
        <f t="shared" si="2"/>
        <v>-8.4662019909737651E-2</v>
      </c>
    </row>
    <row r="20" spans="1:9" x14ac:dyDescent="0.25">
      <c r="A20" s="5">
        <f t="shared" si="1"/>
        <v>4</v>
      </c>
      <c r="B20" s="13">
        <f>3*SIN(0.5*A20)-0.5*A20+2</f>
        <v>2.7278922804770449</v>
      </c>
      <c r="C20" s="14">
        <f t="shared" ref="C20:C25" si="3">C19+1</f>
        <v>2</v>
      </c>
      <c r="D20" s="14">
        <f t="shared" ref="D20:D25" si="4">IF(G19*I19&lt;0,D19,F19)</f>
        <v>5.5</v>
      </c>
      <c r="E20" s="14">
        <f t="shared" ref="E20:E25" si="5">IF(G19*I19&lt;0,F19,E19)</f>
        <v>5.75</v>
      </c>
      <c r="F20" s="14">
        <f t="shared" ref="F20:F25" si="6">(D20+E20)/2</f>
        <v>5.625</v>
      </c>
      <c r="G20" s="14">
        <f t="shared" si="2"/>
        <v>0.39498297615699496</v>
      </c>
      <c r="H20" s="14">
        <f t="shared" si="2"/>
        <v>-8.4662019909737651E-2</v>
      </c>
      <c r="I20" s="14">
        <f t="shared" si="2"/>
        <v>0.15705352099906067</v>
      </c>
    </row>
    <row r="21" spans="1:9" x14ac:dyDescent="0.25">
      <c r="A21" s="5">
        <f t="shared" si="1"/>
        <v>5</v>
      </c>
      <c r="B21" s="13">
        <f t="shared" si="0"/>
        <v>1.2954164323118698</v>
      </c>
      <c r="C21" s="14">
        <f t="shared" si="3"/>
        <v>3</v>
      </c>
      <c r="D21" s="14">
        <f t="shared" si="4"/>
        <v>5.625</v>
      </c>
      <c r="E21" s="14">
        <f t="shared" si="5"/>
        <v>5.75</v>
      </c>
      <c r="F21" s="14">
        <f t="shared" si="6"/>
        <v>5.6875</v>
      </c>
      <c r="G21" s="14">
        <f t="shared" si="2"/>
        <v>0.15705352099906067</v>
      </c>
      <c r="H21" s="14">
        <f t="shared" si="2"/>
        <v>-8.4662019909737651E-2</v>
      </c>
      <c r="I21" s="14">
        <f t="shared" si="2"/>
        <v>3.6625586454641201E-2</v>
      </c>
    </row>
    <row r="22" spans="1:9" x14ac:dyDescent="0.25">
      <c r="A22" s="5">
        <f t="shared" si="1"/>
        <v>6</v>
      </c>
      <c r="B22" s="13">
        <f t="shared" si="0"/>
        <v>-0.57663997582039839</v>
      </c>
      <c r="C22" s="14">
        <f t="shared" si="3"/>
        <v>4</v>
      </c>
      <c r="D22" s="14">
        <f t="shared" si="4"/>
        <v>5.6875</v>
      </c>
      <c r="E22" s="14">
        <f t="shared" si="5"/>
        <v>5.75</v>
      </c>
      <c r="F22" s="14">
        <f t="shared" si="6"/>
        <v>5.71875</v>
      </c>
      <c r="G22" s="14">
        <f t="shared" si="2"/>
        <v>3.6625586454641201E-2</v>
      </c>
      <c r="H22" s="14">
        <f t="shared" si="2"/>
        <v>-8.4662019909737651E-2</v>
      </c>
      <c r="I22" s="14">
        <f t="shared" si="2"/>
        <v>-2.3916234089780275E-2</v>
      </c>
    </row>
    <row r="23" spans="1:9" x14ac:dyDescent="0.25">
      <c r="A23" s="5">
        <f t="shared" si="1"/>
        <v>7</v>
      </c>
      <c r="B23" s="13">
        <f t="shared" si="0"/>
        <v>-2.5523496830688597</v>
      </c>
      <c r="C23" s="14">
        <f t="shared" si="3"/>
        <v>5</v>
      </c>
      <c r="D23" s="14">
        <f t="shared" si="4"/>
        <v>5.6875</v>
      </c>
      <c r="E23" s="14">
        <f t="shared" si="5"/>
        <v>5.71875</v>
      </c>
      <c r="F23" s="14">
        <f t="shared" si="6"/>
        <v>5.703125</v>
      </c>
      <c r="G23" s="14">
        <f t="shared" si="2"/>
        <v>3.6625586454641201E-2</v>
      </c>
      <c r="H23" s="14">
        <f t="shared" si="2"/>
        <v>-2.3916234089780275E-2</v>
      </c>
      <c r="I23" s="14">
        <f t="shared" si="2"/>
        <v>6.3808584027273962E-3</v>
      </c>
    </row>
    <row r="24" spans="1:9" x14ac:dyDescent="0.25">
      <c r="A24" s="5">
        <f t="shared" si="1"/>
        <v>8</v>
      </c>
      <c r="B24" s="13">
        <f t="shared" si="0"/>
        <v>-4.2704074859237844</v>
      </c>
      <c r="C24" s="14">
        <f t="shared" si="3"/>
        <v>6</v>
      </c>
      <c r="D24" s="14">
        <f t="shared" si="4"/>
        <v>5.703125</v>
      </c>
      <c r="E24" s="14">
        <f t="shared" si="5"/>
        <v>5.71875</v>
      </c>
      <c r="F24" s="14">
        <f t="shared" si="6"/>
        <v>5.7109375</v>
      </c>
      <c r="G24" s="14">
        <f t="shared" si="2"/>
        <v>6.3808584027273962E-3</v>
      </c>
      <c r="H24" s="14">
        <f t="shared" si="2"/>
        <v>-2.3916234089780275E-2</v>
      </c>
      <c r="I24" s="14">
        <f t="shared" si="2"/>
        <v>-8.7612279860023179E-3</v>
      </c>
    </row>
    <row r="25" spans="1:9" x14ac:dyDescent="0.25">
      <c r="C25" s="16">
        <f t="shared" si="3"/>
        <v>7</v>
      </c>
      <c r="D25" s="16">
        <f t="shared" si="4"/>
        <v>5.703125</v>
      </c>
      <c r="E25" s="16">
        <f t="shared" si="5"/>
        <v>5.7109375</v>
      </c>
      <c r="F25" s="16">
        <f t="shared" si="6"/>
        <v>5.70703125</v>
      </c>
      <c r="G25" s="16">
        <f t="shared" si="2"/>
        <v>6.3808584027273962E-3</v>
      </c>
      <c r="H25" s="16">
        <f t="shared" si="2"/>
        <v>-8.7612279860023179E-3</v>
      </c>
      <c r="I25" s="16">
        <f t="shared" si="2"/>
        <v>-1.1885591072906543E-3</v>
      </c>
    </row>
    <row r="26" spans="1:9" x14ac:dyDescent="0.25">
      <c r="F26" t="s">
        <v>51</v>
      </c>
    </row>
  </sheetData>
  <mergeCells count="2">
    <mergeCell ref="A1:H1"/>
    <mergeCell ref="A4:D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C91B-6AC8-48B0-946C-42D736043337}">
  <dimension ref="A1:H21"/>
  <sheetViews>
    <sheetView workbookViewId="0">
      <selection activeCell="G26" sqref="G26"/>
    </sheetView>
  </sheetViews>
  <sheetFormatPr baseColWidth="10" defaultColWidth="9.140625" defaultRowHeight="15" x14ac:dyDescent="0.25"/>
  <cols>
    <col min="1" max="8" width="14" customWidth="1"/>
  </cols>
  <sheetData>
    <row r="1" spans="1:8" ht="18.75" x14ac:dyDescent="0.3">
      <c r="A1" s="1" t="s">
        <v>34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52</v>
      </c>
      <c r="B3" s="2" t="s">
        <v>53</v>
      </c>
      <c r="C3" s="2"/>
      <c r="D3" s="2"/>
      <c r="E3" s="2"/>
      <c r="F3" s="2"/>
      <c r="G3" s="2"/>
      <c r="H3" s="2"/>
    </row>
    <row r="5" spans="1:8" x14ac:dyDescent="0.25">
      <c r="A5" s="3" t="s">
        <v>33</v>
      </c>
      <c r="B5" s="2" t="s">
        <v>54</v>
      </c>
      <c r="C5" s="2"/>
      <c r="D5" s="2"/>
      <c r="F5" s="6" t="s">
        <v>32</v>
      </c>
    </row>
    <row r="6" spans="1:8" x14ac:dyDescent="0.25">
      <c r="A6" s="3" t="s">
        <v>31</v>
      </c>
      <c r="B6" s="2" t="s">
        <v>55</v>
      </c>
      <c r="C6" s="2"/>
      <c r="D6" s="2"/>
      <c r="F6" s="6" t="s">
        <v>29</v>
      </c>
    </row>
    <row r="12" spans="1:8" x14ac:dyDescent="0.25">
      <c r="A12" s="4" t="s">
        <v>16</v>
      </c>
      <c r="B12" s="4" t="s">
        <v>26</v>
      </c>
      <c r="C12" s="4" t="s">
        <v>25</v>
      </c>
      <c r="D12" s="4" t="s">
        <v>24</v>
      </c>
      <c r="F12" s="4" t="s">
        <v>6</v>
      </c>
      <c r="G12" s="4" t="s">
        <v>7</v>
      </c>
    </row>
    <row r="13" spans="1:8" x14ac:dyDescent="0.25">
      <c r="A13" s="5">
        <f>0</f>
        <v>0</v>
      </c>
      <c r="B13" s="5">
        <f>5</f>
        <v>5</v>
      </c>
      <c r="C13" s="5">
        <f>3*SIN(0.5*B13)-0.5*B13+2</f>
        <v>1.2954164323118698</v>
      </c>
      <c r="D13">
        <f>1.5*COS(0.5*B13)-0.5</f>
        <v>-1.7017154233204006</v>
      </c>
      <c r="F13" s="5">
        <f>0</f>
        <v>0</v>
      </c>
      <c r="G13" s="5">
        <f>3*SIN(0.5*F13)-0.5*F13+2</f>
        <v>2</v>
      </c>
    </row>
    <row r="14" spans="1:8" x14ac:dyDescent="0.25">
      <c r="A14" s="5">
        <f>A13+1</f>
        <v>1</v>
      </c>
      <c r="B14" s="5">
        <f>B13-C13/D13</f>
        <v>5.7612415181524552</v>
      </c>
      <c r="C14" s="5">
        <f>3*SIN(0.5*B14)-0.5*B14+2</f>
        <v>-0.1065617807394954</v>
      </c>
      <c r="D14" s="5">
        <f>1.5*COS(0.5*B14)-0.5</f>
        <v>-1.9492094998702132</v>
      </c>
      <c r="F14" s="5">
        <f>F13+1</f>
        <v>1</v>
      </c>
      <c r="G14" s="5">
        <f t="shared" ref="G14:G21" si="0">3*SIN(0.5*F14)-0.5*F14+2</f>
        <v>2.938276615812609</v>
      </c>
    </row>
    <row r="15" spans="1:8" x14ac:dyDescent="0.25">
      <c r="A15" s="5">
        <f t="shared" ref="A15:A16" si="1">A14+1</f>
        <v>2</v>
      </c>
      <c r="B15" s="5">
        <f t="shared" ref="B15:B16" si="2">B14-C14/D14</f>
        <v>5.7065722890385038</v>
      </c>
      <c r="C15" s="5">
        <f t="shared" ref="C15:C16" si="3">3*SIN(0.5*B15)-0.5*B15+2</f>
        <v>-2.9902894015521042E-4</v>
      </c>
      <c r="D15" s="5">
        <f t="shared" ref="D15:D16" si="4">1.5*COS(0.5*B15)-0.5</f>
        <v>-1.9380901380525537</v>
      </c>
      <c r="F15" s="5">
        <f t="shared" ref="F15:F21" si="5">F14+1</f>
        <v>2</v>
      </c>
      <c r="G15" s="5">
        <f t="shared" si="0"/>
        <v>3.5244129544236893</v>
      </c>
    </row>
    <row r="16" spans="1:8" x14ac:dyDescent="0.25">
      <c r="A16" s="10">
        <f t="shared" si="1"/>
        <v>3</v>
      </c>
      <c r="B16" s="10">
        <f t="shared" si="2"/>
        <v>5.7064179985159509</v>
      </c>
      <c r="C16" s="10">
        <f t="shared" si="3"/>
        <v>-2.5384503388181656E-9</v>
      </c>
      <c r="D16" s="10">
        <f t="shared" si="4"/>
        <v>-1.9380572318163194</v>
      </c>
      <c r="F16" s="5">
        <f t="shared" si="5"/>
        <v>3</v>
      </c>
      <c r="G16" s="5">
        <f t="shared" si="0"/>
        <v>3.4924849598121632</v>
      </c>
    </row>
    <row r="17" spans="6:7" x14ac:dyDescent="0.25">
      <c r="F17" s="5">
        <f t="shared" si="5"/>
        <v>4</v>
      </c>
      <c r="G17" s="5">
        <f t="shared" si="0"/>
        <v>2.7278922804770449</v>
      </c>
    </row>
    <row r="18" spans="6:7" x14ac:dyDescent="0.25">
      <c r="F18" s="5">
        <f t="shared" si="5"/>
        <v>5</v>
      </c>
      <c r="G18" s="5">
        <f t="shared" si="0"/>
        <v>1.2954164323118698</v>
      </c>
    </row>
    <row r="19" spans="6:7" x14ac:dyDescent="0.25">
      <c r="F19" s="5">
        <f t="shared" si="5"/>
        <v>6</v>
      </c>
      <c r="G19" s="5">
        <f t="shared" si="0"/>
        <v>-0.57663997582039839</v>
      </c>
    </row>
    <row r="20" spans="6:7" x14ac:dyDescent="0.25">
      <c r="F20" s="5">
        <f t="shared" si="5"/>
        <v>7</v>
      </c>
      <c r="G20" s="5">
        <f t="shared" si="0"/>
        <v>-2.5523496830688597</v>
      </c>
    </row>
    <row r="21" spans="6:7" x14ac:dyDescent="0.25">
      <c r="F21" s="5">
        <f t="shared" si="5"/>
        <v>8</v>
      </c>
      <c r="G21" s="5">
        <f t="shared" si="0"/>
        <v>-4.2704074859237844</v>
      </c>
    </row>
  </sheetData>
  <mergeCells count="4">
    <mergeCell ref="A1:H1"/>
    <mergeCell ref="B3:H3"/>
    <mergeCell ref="B5:D5"/>
    <mergeCell ref="B6:D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3EA1-4BCE-4D72-9E59-F9C9BB7EF1A7}">
  <dimension ref="A1:H26"/>
  <sheetViews>
    <sheetView workbookViewId="0">
      <selection activeCell="B16" sqref="B16"/>
    </sheetView>
  </sheetViews>
  <sheetFormatPr baseColWidth="10" defaultColWidth="9.140625" defaultRowHeight="15" x14ac:dyDescent="0.25"/>
  <cols>
    <col min="1" max="8" width="14" customWidth="1"/>
  </cols>
  <sheetData>
    <row r="1" spans="1:8" ht="18.75" x14ac:dyDescent="0.3">
      <c r="A1" s="1" t="s">
        <v>35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52</v>
      </c>
      <c r="B3" s="2" t="s">
        <v>56</v>
      </c>
      <c r="C3" s="2"/>
      <c r="D3" s="2"/>
      <c r="E3" s="2"/>
      <c r="F3" s="2"/>
      <c r="G3" s="2"/>
      <c r="H3" s="2"/>
    </row>
    <row r="5" spans="1:8" x14ac:dyDescent="0.25">
      <c r="A5" s="3" t="s">
        <v>57</v>
      </c>
      <c r="B5" s="2" t="s">
        <v>54</v>
      </c>
      <c r="C5" s="2"/>
      <c r="D5" s="2"/>
    </row>
    <row r="7" spans="1:8" x14ac:dyDescent="0.25">
      <c r="A7" s="3" t="s">
        <v>5</v>
      </c>
    </row>
    <row r="9" spans="1:8" x14ac:dyDescent="0.25">
      <c r="A9" s="4" t="s">
        <v>6</v>
      </c>
      <c r="B9" s="4" t="s">
        <v>7</v>
      </c>
    </row>
    <row r="10" spans="1:8" x14ac:dyDescent="0.25">
      <c r="A10" s="5">
        <f>0</f>
        <v>0</v>
      </c>
      <c r="B10" s="5">
        <f>3*SIN(0.5*A10)-0.5*A10+2</f>
        <v>2</v>
      </c>
    </row>
    <row r="11" spans="1:8" x14ac:dyDescent="0.25">
      <c r="A11" s="5">
        <f>A10+1</f>
        <v>1</v>
      </c>
      <c r="B11" s="5">
        <f>3*SIN(0.5*A11)-0.5*A11+2</f>
        <v>2.938276615812609</v>
      </c>
      <c r="D11" s="2" t="s">
        <v>58</v>
      </c>
      <c r="E11" s="2"/>
      <c r="F11" s="2"/>
      <c r="G11" s="2"/>
      <c r="H11" s="2"/>
    </row>
    <row r="12" spans="1:8" x14ac:dyDescent="0.25">
      <c r="A12" s="5">
        <v>2</v>
      </c>
      <c r="B12" s="5">
        <f t="shared" ref="B12:B15" si="0">3*SIN(0.5*A12)-0.5*A12+2</f>
        <v>3.5244129544236893</v>
      </c>
    </row>
    <row r="13" spans="1:8" x14ac:dyDescent="0.25">
      <c r="A13" s="5">
        <v>3</v>
      </c>
      <c r="B13" s="5">
        <f t="shared" si="0"/>
        <v>3.4924849598121632</v>
      </c>
      <c r="D13" s="3" t="s">
        <v>9</v>
      </c>
      <c r="E13" s="6" t="s">
        <v>32</v>
      </c>
    </row>
    <row r="14" spans="1:8" x14ac:dyDescent="0.25">
      <c r="A14" s="5">
        <v>4</v>
      </c>
      <c r="B14" s="5">
        <f t="shared" si="0"/>
        <v>2.7278922804770449</v>
      </c>
      <c r="D14" t="s">
        <v>12</v>
      </c>
      <c r="E14" s="6" t="s">
        <v>37</v>
      </c>
    </row>
    <row r="15" spans="1:8" x14ac:dyDescent="0.25">
      <c r="A15" s="9">
        <v>5</v>
      </c>
      <c r="B15" s="7">
        <f t="shared" si="0"/>
        <v>1.2954164323118698</v>
      </c>
    </row>
    <row r="16" spans="1:8" x14ac:dyDescent="0.25">
      <c r="A16" s="8" t="s">
        <v>59</v>
      </c>
      <c r="B16" s="9">
        <v>-0.57663997582039839</v>
      </c>
    </row>
    <row r="17" spans="1:8" x14ac:dyDescent="0.25">
      <c r="A17" s="4" t="s">
        <v>16</v>
      </c>
      <c r="B17" s="4" t="s">
        <v>26</v>
      </c>
      <c r="C17" s="4" t="s">
        <v>25</v>
      </c>
    </row>
    <row r="18" spans="1:8" x14ac:dyDescent="0.25">
      <c r="A18" s="5">
        <f>0</f>
        <v>0</v>
      </c>
      <c r="B18" s="5">
        <f>5</f>
        <v>5</v>
      </c>
      <c r="C18" s="5">
        <f>3*SIN(0.5*B18)-0.5*B18+2</f>
        <v>1.2954164323118698</v>
      </c>
    </row>
    <row r="19" spans="1:8" x14ac:dyDescent="0.25">
      <c r="A19" s="5">
        <f>1</f>
        <v>1</v>
      </c>
      <c r="B19" s="5">
        <f>6</f>
        <v>6</v>
      </c>
      <c r="C19" s="5">
        <f>3*SIN(0.5*B19)-0.5*B19+2</f>
        <v>-0.57663997582039839</v>
      </c>
    </row>
    <row r="20" spans="1:8" x14ac:dyDescent="0.25">
      <c r="A20" s="5">
        <f>A19+1</f>
        <v>2</v>
      </c>
      <c r="B20" s="5">
        <f>B19-C19*(B18-B19)/(C18-C19)</f>
        <v>5.6919751064575523</v>
      </c>
      <c r="C20" s="5">
        <f>3*SIN(0.5*B20)-0.5*B20+2</f>
        <v>2.7968721321341095E-2</v>
      </c>
    </row>
    <row r="21" spans="1:8" x14ac:dyDescent="0.25">
      <c r="A21" s="5">
        <f t="shared" ref="A21:A22" si="1">A20+1</f>
        <v>3</v>
      </c>
      <c r="B21" s="5">
        <f t="shared" ref="B21:B22" si="2">B20-C20*(B19-B20)/(C19-C20)</f>
        <v>5.7062240950153615</v>
      </c>
      <c r="C21" s="5">
        <f t="shared" ref="C21:C22" si="3">3*SIN(0.5*B21)-0.5*B21+2</f>
        <v>3.7578953277472849E-4</v>
      </c>
    </row>
    <row r="22" spans="1:8" x14ac:dyDescent="0.25">
      <c r="A22" s="10">
        <f t="shared" si="1"/>
        <v>4</v>
      </c>
      <c r="B22" s="10">
        <f t="shared" si="2"/>
        <v>5.7064181527107776</v>
      </c>
      <c r="C22" s="10">
        <f t="shared" si="3"/>
        <v>-3.0137685236297784E-7</v>
      </c>
    </row>
    <row r="25" spans="1:8" x14ac:dyDescent="0.25">
      <c r="A25" s="3" t="s">
        <v>38</v>
      </c>
    </row>
    <row r="26" spans="1:8" x14ac:dyDescent="0.25">
      <c r="A26" s="2" t="s">
        <v>60</v>
      </c>
      <c r="B26" s="2"/>
      <c r="C26" s="2"/>
      <c r="D26" s="2"/>
      <c r="E26" s="2"/>
      <c r="F26" s="2"/>
      <c r="G26" s="2"/>
      <c r="H26" s="2"/>
    </row>
  </sheetData>
  <mergeCells count="5">
    <mergeCell ref="A1:H1"/>
    <mergeCell ref="B3:H3"/>
    <mergeCell ref="B5:D5"/>
    <mergeCell ref="D11:H11"/>
    <mergeCell ref="A26:H2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2C3B-D155-4AD7-8410-492D563E1C51}">
  <dimension ref="A1:H56"/>
  <sheetViews>
    <sheetView topLeftCell="A4" workbookViewId="0">
      <selection activeCell="J18" sqref="J18"/>
    </sheetView>
  </sheetViews>
  <sheetFormatPr baseColWidth="10" defaultColWidth="9.140625" defaultRowHeight="15" x14ac:dyDescent="0.25"/>
  <cols>
    <col min="1" max="8" width="14" customWidth="1"/>
  </cols>
  <sheetData>
    <row r="1" spans="1:8" ht="18.75" x14ac:dyDescent="0.3">
      <c r="A1" s="1" t="s">
        <v>61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62</v>
      </c>
      <c r="B3" s="2" t="s">
        <v>63</v>
      </c>
      <c r="C3" s="2"/>
      <c r="D3" s="2"/>
      <c r="E3" s="2"/>
      <c r="F3" s="2"/>
      <c r="G3" s="2"/>
      <c r="H3" s="2"/>
    </row>
    <row r="5" spans="1:8" x14ac:dyDescent="0.25">
      <c r="A5" s="3" t="s">
        <v>57</v>
      </c>
      <c r="B5" s="2" t="s">
        <v>64</v>
      </c>
      <c r="C5" s="2"/>
      <c r="D5" s="2"/>
      <c r="E5" s="2"/>
      <c r="F5" s="6" t="s">
        <v>10</v>
      </c>
    </row>
    <row r="6" spans="1:8" x14ac:dyDescent="0.25">
      <c r="F6" s="6" t="s">
        <v>65</v>
      </c>
    </row>
    <row r="7" spans="1:8" x14ac:dyDescent="0.25">
      <c r="A7" s="3" t="s">
        <v>66</v>
      </c>
    </row>
    <row r="8" spans="1:8" x14ac:dyDescent="0.25">
      <c r="A8" t="s">
        <v>67</v>
      </c>
    </row>
    <row r="9" spans="1:8" x14ac:dyDescent="0.25">
      <c r="A9" t="s">
        <v>68</v>
      </c>
    </row>
    <row r="12" spans="1:8" x14ac:dyDescent="0.25">
      <c r="A12" s="4" t="s">
        <v>6</v>
      </c>
      <c r="B12" s="4" t="s">
        <v>7</v>
      </c>
    </row>
    <row r="13" spans="1:8" x14ac:dyDescent="0.25">
      <c r="A13" s="5">
        <f>-2</f>
        <v>-2</v>
      </c>
      <c r="B13" s="5">
        <f>A13^3-A13^2*EXP(-0.5*A13)-3*A13+1</f>
        <v>-11.873127313836179</v>
      </c>
      <c r="D13" s="2" t="s">
        <v>69</v>
      </c>
      <c r="E13" s="2"/>
      <c r="F13" s="2"/>
      <c r="G13" s="2"/>
      <c r="H13" s="2"/>
    </row>
    <row r="14" spans="1:8" x14ac:dyDescent="0.25">
      <c r="A14" s="5">
        <f>A13+0.5</f>
        <v>-1.5</v>
      </c>
      <c r="B14" s="5">
        <f t="shared" ref="B14:B23" si="0">A14^3-A14^2*EXP(-0.5*A14)-3*A14+1</f>
        <v>-2.6382500373785192</v>
      </c>
    </row>
    <row r="15" spans="1:8" x14ac:dyDescent="0.25">
      <c r="A15" s="5">
        <f t="shared" ref="A15:A23" si="1">A14+0.5</f>
        <v>-1</v>
      </c>
      <c r="B15" s="5">
        <f t="shared" si="0"/>
        <v>1.3512787292998718</v>
      </c>
    </row>
    <row r="16" spans="1:8" x14ac:dyDescent="0.25">
      <c r="A16" s="5">
        <f t="shared" si="1"/>
        <v>-0.5</v>
      </c>
      <c r="B16" s="5">
        <f t="shared" si="0"/>
        <v>2.0539936458280645</v>
      </c>
    </row>
    <row r="17" spans="1:7" x14ac:dyDescent="0.25">
      <c r="A17" s="5">
        <f t="shared" si="1"/>
        <v>0</v>
      </c>
      <c r="B17" s="5">
        <f t="shared" si="0"/>
        <v>1</v>
      </c>
    </row>
    <row r="18" spans="1:7" x14ac:dyDescent="0.25">
      <c r="A18" s="5">
        <f t="shared" si="1"/>
        <v>0.5</v>
      </c>
      <c r="B18" s="5">
        <f t="shared" si="0"/>
        <v>-0.56970019576785114</v>
      </c>
    </row>
    <row r="19" spans="1:7" x14ac:dyDescent="0.25">
      <c r="A19" s="5">
        <f t="shared" si="1"/>
        <v>1</v>
      </c>
      <c r="B19" s="5">
        <f t="shared" si="0"/>
        <v>-1.6065306597126332</v>
      </c>
    </row>
    <row r="20" spans="1:7" x14ac:dyDescent="0.25">
      <c r="A20" s="5">
        <f t="shared" si="1"/>
        <v>1.5</v>
      </c>
      <c r="B20" s="5">
        <f t="shared" si="0"/>
        <v>-1.1878247436672833</v>
      </c>
    </row>
    <row r="21" spans="1:7" x14ac:dyDescent="0.25">
      <c r="A21" s="5">
        <f t="shared" si="1"/>
        <v>2</v>
      </c>
      <c r="B21" s="5">
        <f t="shared" si="0"/>
        <v>1.5284822353142307</v>
      </c>
    </row>
    <row r="22" spans="1:7" x14ac:dyDescent="0.25">
      <c r="A22" s="5">
        <f t="shared" si="1"/>
        <v>2.5</v>
      </c>
      <c r="B22" s="5">
        <f t="shared" si="0"/>
        <v>7.3343450196238127</v>
      </c>
    </row>
    <row r="23" spans="1:7" x14ac:dyDescent="0.25">
      <c r="A23" s="5">
        <f t="shared" si="1"/>
        <v>3</v>
      </c>
      <c r="B23" s="5">
        <f t="shared" si="0"/>
        <v>16.991828558664132</v>
      </c>
    </row>
    <row r="26" spans="1:7" x14ac:dyDescent="0.25">
      <c r="A26" s="3" t="s">
        <v>70</v>
      </c>
    </row>
    <row r="27" spans="1:7" x14ac:dyDescent="0.25">
      <c r="A27" s="4" t="s">
        <v>16</v>
      </c>
      <c r="B27" s="4" t="s">
        <v>17</v>
      </c>
      <c r="C27" s="4" t="s">
        <v>18</v>
      </c>
      <c r="D27" s="4" t="s">
        <v>19</v>
      </c>
      <c r="E27" s="4" t="s">
        <v>20</v>
      </c>
      <c r="F27" s="4" t="s">
        <v>21</v>
      </c>
      <c r="G27" s="4" t="s">
        <v>22</v>
      </c>
    </row>
    <row r="28" spans="1:7" x14ac:dyDescent="0.25">
      <c r="A28" s="5">
        <f>0</f>
        <v>0</v>
      </c>
      <c r="B28" s="5">
        <f>-1.5</f>
        <v>-1.5</v>
      </c>
      <c r="C28" s="5">
        <f>-1</f>
        <v>-1</v>
      </c>
      <c r="D28" s="5">
        <f>(B28+C28)/2</f>
        <v>-1.25</v>
      </c>
      <c r="E28" s="5">
        <f t="shared" ref="E28:G32" si="2">B28^3-B28^2*EXP(-0.5*B28)-3*B28+1</f>
        <v>-2.6382500373785192</v>
      </c>
      <c r="F28" s="5">
        <f t="shared" si="2"/>
        <v>1.3512787292998718</v>
      </c>
      <c r="G28" s="5">
        <f t="shared" si="2"/>
        <v>-0.12225930848784738</v>
      </c>
    </row>
    <row r="29" spans="1:7" x14ac:dyDescent="0.25">
      <c r="A29" s="5">
        <f>A28+1</f>
        <v>1</v>
      </c>
      <c r="B29" s="5">
        <f>IF(E28*G28&lt;0,B28,D28)</f>
        <v>-1.25</v>
      </c>
      <c r="C29" s="5">
        <f>IF(E28*G28&lt;0,D28,C28)</f>
        <v>-1</v>
      </c>
      <c r="D29" s="5">
        <f>(B29+C29)/2</f>
        <v>-1.125</v>
      </c>
      <c r="E29" s="5">
        <f t="shared" si="2"/>
        <v>-0.12225930848784738</v>
      </c>
      <c r="F29" s="5">
        <f t="shared" si="2"/>
        <v>1.3512787292998718</v>
      </c>
      <c r="G29" s="5">
        <f t="shared" si="2"/>
        <v>0.72993082478462235</v>
      </c>
    </row>
    <row r="30" spans="1:7" x14ac:dyDescent="0.25">
      <c r="A30" s="5">
        <f t="shared" ref="A30:A32" si="3">A29+1</f>
        <v>2</v>
      </c>
      <c r="B30" s="5">
        <f t="shared" ref="B30:B32" si="4">IF(E29*G29&lt;0,B29,D29)</f>
        <v>-1.25</v>
      </c>
      <c r="C30" s="5">
        <f t="shared" ref="C30:C32" si="5">IF(E29*G29&lt;0,D29,C29)</f>
        <v>-1.125</v>
      </c>
      <c r="D30" s="5">
        <f t="shared" ref="D30:D32" si="6">(B30+C30)/2</f>
        <v>-1.1875</v>
      </c>
      <c r="E30" s="5">
        <f t="shared" si="2"/>
        <v>-0.12225930848784738</v>
      </c>
      <c r="F30" s="5">
        <f t="shared" si="2"/>
        <v>0.72993082478462235</v>
      </c>
      <c r="G30" s="5">
        <f t="shared" si="2"/>
        <v>0.33447635923789498</v>
      </c>
    </row>
    <row r="31" spans="1:7" x14ac:dyDescent="0.25">
      <c r="A31" s="5">
        <f t="shared" si="3"/>
        <v>3</v>
      </c>
      <c r="B31" s="5">
        <f t="shared" si="4"/>
        <v>-1.25</v>
      </c>
      <c r="C31" s="5">
        <f t="shared" si="5"/>
        <v>-1.1875</v>
      </c>
      <c r="D31" s="5">
        <f t="shared" si="6"/>
        <v>-1.21875</v>
      </c>
      <c r="E31" s="5">
        <f t="shared" si="2"/>
        <v>-0.12225930848784738</v>
      </c>
      <c r="F31" s="5">
        <f t="shared" si="2"/>
        <v>0.33447635923789498</v>
      </c>
      <c r="G31" s="5">
        <f t="shared" si="2"/>
        <v>0.11399815032026517</v>
      </c>
    </row>
    <row r="32" spans="1:7" x14ac:dyDescent="0.25">
      <c r="A32" s="10">
        <f t="shared" si="3"/>
        <v>4</v>
      </c>
      <c r="B32" s="10">
        <f t="shared" si="4"/>
        <v>-1.25</v>
      </c>
      <c r="C32" s="10">
        <f t="shared" si="5"/>
        <v>-1.21875</v>
      </c>
      <c r="D32" s="10">
        <f t="shared" si="6"/>
        <v>-1.234375</v>
      </c>
      <c r="E32" s="10">
        <f t="shared" si="2"/>
        <v>-0.12225930848784738</v>
      </c>
      <c r="F32" s="10">
        <f t="shared" si="2"/>
        <v>0.11399815032026517</v>
      </c>
      <c r="G32" s="10">
        <f t="shared" si="2"/>
        <v>-2.1290798148916323E-3</v>
      </c>
    </row>
    <row r="35" spans="1:7" x14ac:dyDescent="0.25">
      <c r="A35" s="3" t="s">
        <v>71</v>
      </c>
    </row>
    <row r="36" spans="1:7" x14ac:dyDescent="0.25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21</v>
      </c>
      <c r="G36" s="4" t="s">
        <v>22</v>
      </c>
    </row>
    <row r="37" spans="1:7" x14ac:dyDescent="0.25">
      <c r="A37" s="5">
        <f>0</f>
        <v>0</v>
      </c>
      <c r="B37" s="5">
        <f>0</f>
        <v>0</v>
      </c>
      <c r="C37" s="5">
        <f>0.5</f>
        <v>0.5</v>
      </c>
      <c r="D37" s="5">
        <f>(B37+C37)/2</f>
        <v>0.25</v>
      </c>
      <c r="E37" s="5">
        <f t="shared" ref="E37:G43" si="7">B37^3-B37^2*EXP(-0.5*B37)-3*B37+1</f>
        <v>1</v>
      </c>
      <c r="F37" s="5">
        <f t="shared" si="7"/>
        <v>-0.56970019576785114</v>
      </c>
      <c r="G37" s="5">
        <f t="shared" si="7"/>
        <v>0.2104689435884628</v>
      </c>
    </row>
    <row r="38" spans="1:7" x14ac:dyDescent="0.25">
      <c r="A38" s="5">
        <f>A37+1</f>
        <v>1</v>
      </c>
      <c r="B38" s="5">
        <f>IF(E37*G37&lt;0,B37,D37)</f>
        <v>0.25</v>
      </c>
      <c r="C38" s="5">
        <f>IF(E37*G37&lt;0,D37,C37)</f>
        <v>0.5</v>
      </c>
      <c r="D38" s="5">
        <f>(B38+C38)/2</f>
        <v>0.375</v>
      </c>
      <c r="E38" s="5">
        <f t="shared" si="7"/>
        <v>0.2104689435884628</v>
      </c>
      <c r="F38" s="5">
        <f t="shared" si="7"/>
        <v>-0.56970019576785114</v>
      </c>
      <c r="G38" s="5">
        <f t="shared" si="7"/>
        <v>-0.18884784474411886</v>
      </c>
    </row>
    <row r="39" spans="1:7" x14ac:dyDescent="0.25">
      <c r="A39" s="5">
        <f t="shared" ref="A39:A43" si="8">A38+1</f>
        <v>2</v>
      </c>
      <c r="B39" s="5">
        <f t="shared" ref="B39:B43" si="9">IF(E38*G38&lt;0,B38,D38)</f>
        <v>0.25</v>
      </c>
      <c r="C39" s="5">
        <f t="shared" ref="C39:C43" si="10">IF(E38*G38&lt;0,D38,C38)</f>
        <v>0.375</v>
      </c>
      <c r="D39" s="5">
        <f t="shared" ref="D39:D43" si="11">(B39+C39)/2</f>
        <v>0.3125</v>
      </c>
      <c r="E39" s="5">
        <f t="shared" si="7"/>
        <v>0.2104689435884628</v>
      </c>
      <c r="F39" s="5">
        <f t="shared" si="7"/>
        <v>-0.18884784474411886</v>
      </c>
      <c r="G39" s="5">
        <f t="shared" si="7"/>
        <v>9.4877610051344874E-3</v>
      </c>
    </row>
    <row r="40" spans="1:7" x14ac:dyDescent="0.25">
      <c r="A40" s="5">
        <f t="shared" si="8"/>
        <v>3</v>
      </c>
      <c r="B40" s="5">
        <f t="shared" si="9"/>
        <v>0.3125</v>
      </c>
      <c r="C40" s="5">
        <f t="shared" si="10"/>
        <v>0.375</v>
      </c>
      <c r="D40" s="5">
        <f t="shared" si="11"/>
        <v>0.34375</v>
      </c>
      <c r="E40" s="5">
        <f t="shared" si="7"/>
        <v>9.4877610051344874E-3</v>
      </c>
      <c r="F40" s="5">
        <f t="shared" si="7"/>
        <v>-0.18884784474411886</v>
      </c>
      <c r="G40" s="5">
        <f t="shared" si="7"/>
        <v>-9.0135220394872428E-2</v>
      </c>
    </row>
    <row r="41" spans="1:7" x14ac:dyDescent="0.25">
      <c r="A41" s="5">
        <f t="shared" si="8"/>
        <v>4</v>
      </c>
      <c r="B41" s="5">
        <f t="shared" si="9"/>
        <v>0.3125</v>
      </c>
      <c r="C41" s="5">
        <f t="shared" si="10"/>
        <v>0.34375</v>
      </c>
      <c r="D41" s="5">
        <f t="shared" si="11"/>
        <v>0.328125</v>
      </c>
      <c r="E41" s="5">
        <f t="shared" si="7"/>
        <v>9.4877610051344874E-3</v>
      </c>
      <c r="F41" s="5">
        <f t="shared" si="7"/>
        <v>-9.0135220394872428E-2</v>
      </c>
      <c r="G41" s="5">
        <f t="shared" si="7"/>
        <v>-4.0422049298882712E-2</v>
      </c>
    </row>
    <row r="42" spans="1:7" x14ac:dyDescent="0.25">
      <c r="A42" s="5">
        <f t="shared" si="8"/>
        <v>5</v>
      </c>
      <c r="B42" s="5">
        <f t="shared" si="9"/>
        <v>0.3125</v>
      </c>
      <c r="C42" s="5">
        <f t="shared" si="10"/>
        <v>0.328125</v>
      </c>
      <c r="D42" s="5">
        <f t="shared" si="11"/>
        <v>0.3203125</v>
      </c>
      <c r="E42" s="5">
        <f t="shared" si="7"/>
        <v>9.4877610051344874E-3</v>
      </c>
      <c r="F42" s="5">
        <f t="shared" si="7"/>
        <v>-4.0422049298882712E-2</v>
      </c>
      <c r="G42" s="5">
        <f t="shared" si="7"/>
        <v>-1.5489782308668598E-2</v>
      </c>
    </row>
    <row r="43" spans="1:7" x14ac:dyDescent="0.25">
      <c r="A43" s="10">
        <f t="shared" si="8"/>
        <v>6</v>
      </c>
      <c r="B43" s="10">
        <f t="shared" si="9"/>
        <v>0.3125</v>
      </c>
      <c r="C43" s="10">
        <f t="shared" si="10"/>
        <v>0.3203125</v>
      </c>
      <c r="D43" s="10">
        <f t="shared" si="11"/>
        <v>0.31640625</v>
      </c>
      <c r="E43" s="10">
        <f t="shared" si="7"/>
        <v>9.4877610051344874E-3</v>
      </c>
      <c r="F43" s="10">
        <f t="shared" si="7"/>
        <v>-1.5489782308668598E-2</v>
      </c>
      <c r="G43" s="10">
        <f t="shared" si="7"/>
        <v>-3.006427010124435E-3</v>
      </c>
    </row>
    <row r="46" spans="1:7" x14ac:dyDescent="0.25">
      <c r="A46" s="3" t="s">
        <v>72</v>
      </c>
    </row>
    <row r="47" spans="1:7" x14ac:dyDescent="0.25">
      <c r="A47" s="4" t="s">
        <v>16</v>
      </c>
      <c r="B47" s="4" t="s">
        <v>17</v>
      </c>
      <c r="C47" s="4" t="s">
        <v>18</v>
      </c>
      <c r="D47" s="4" t="s">
        <v>19</v>
      </c>
      <c r="E47" s="4" t="s">
        <v>20</v>
      </c>
      <c r="F47" s="4" t="s">
        <v>21</v>
      </c>
      <c r="G47" s="4" t="s">
        <v>22</v>
      </c>
    </row>
    <row r="48" spans="1:7" x14ac:dyDescent="0.25">
      <c r="A48" s="5">
        <f>0</f>
        <v>0</v>
      </c>
      <c r="B48" s="5">
        <f>1.5</f>
        <v>1.5</v>
      </c>
      <c r="C48" s="5">
        <f>2</f>
        <v>2</v>
      </c>
      <c r="D48" s="5">
        <f>(B48+C48)/2</f>
        <v>1.75</v>
      </c>
      <c r="E48" s="5">
        <f t="shared" ref="E48:G56" si="12">B48^3-B48^2*EXP(-0.5*B48)-3*B48+1</f>
        <v>-1.1878247436672833</v>
      </c>
      <c r="F48" s="5">
        <f t="shared" si="12"/>
        <v>1.5284822353142307</v>
      </c>
      <c r="G48" s="5">
        <f t="shared" si="12"/>
        <v>-0.16726493526543162</v>
      </c>
    </row>
    <row r="49" spans="1:7" x14ac:dyDescent="0.25">
      <c r="A49" s="5">
        <f>A48+1</f>
        <v>1</v>
      </c>
      <c r="B49" s="5">
        <f>IF(E48*G48&lt;0,B48,D48)</f>
        <v>1.75</v>
      </c>
      <c r="C49" s="5">
        <f>IF(E48*G48&lt;0,D48,C48)</f>
        <v>2</v>
      </c>
      <c r="D49" s="5">
        <f>(B49+C49)/2</f>
        <v>1.875</v>
      </c>
      <c r="E49" s="5">
        <f t="shared" si="12"/>
        <v>-0.16726493526543162</v>
      </c>
      <c r="F49" s="5">
        <f t="shared" si="12"/>
        <v>1.5284822353142307</v>
      </c>
      <c r="G49" s="5">
        <f t="shared" si="12"/>
        <v>0.59005834371437871</v>
      </c>
    </row>
    <row r="50" spans="1:7" x14ac:dyDescent="0.25">
      <c r="A50" s="5">
        <f t="shared" ref="A50:A56" si="13">A49+1</f>
        <v>2</v>
      </c>
      <c r="B50" s="5">
        <f t="shared" ref="B50:B56" si="14">IF(E49*G49&lt;0,B49,D49)</f>
        <v>1.75</v>
      </c>
      <c r="C50" s="5">
        <f t="shared" ref="C50:C56" si="15">IF(E49*G49&lt;0,D49,C49)</f>
        <v>1.875</v>
      </c>
      <c r="D50" s="5">
        <f t="shared" ref="D50:D56" si="16">(B50+C50)/2</f>
        <v>1.8125</v>
      </c>
      <c r="E50" s="5">
        <f t="shared" si="12"/>
        <v>-0.16726493526543162</v>
      </c>
      <c r="F50" s="5">
        <f t="shared" si="12"/>
        <v>0.59005834371437871</v>
      </c>
      <c r="G50" s="5">
        <f t="shared" si="12"/>
        <v>0.18952259218409928</v>
      </c>
    </row>
    <row r="51" spans="1:7" x14ac:dyDescent="0.25">
      <c r="A51" s="5">
        <f t="shared" si="13"/>
        <v>3</v>
      </c>
      <c r="B51" s="5">
        <f t="shared" si="14"/>
        <v>1.75</v>
      </c>
      <c r="C51" s="5">
        <f t="shared" si="15"/>
        <v>1.8125</v>
      </c>
      <c r="D51" s="5">
        <f t="shared" si="16"/>
        <v>1.78125</v>
      </c>
      <c r="E51" s="5">
        <f t="shared" si="12"/>
        <v>-0.16726493526543162</v>
      </c>
      <c r="F51" s="5">
        <f t="shared" si="12"/>
        <v>0.18952259218409928</v>
      </c>
      <c r="G51" s="5">
        <f t="shared" si="12"/>
        <v>5.7561880955994127E-3</v>
      </c>
    </row>
    <row r="52" spans="1:7" x14ac:dyDescent="0.25">
      <c r="A52" s="5">
        <f t="shared" si="13"/>
        <v>4</v>
      </c>
      <c r="B52" s="5">
        <f t="shared" si="14"/>
        <v>1.75</v>
      </c>
      <c r="C52" s="5">
        <f t="shared" si="15"/>
        <v>1.78125</v>
      </c>
      <c r="D52" s="5">
        <f t="shared" si="16"/>
        <v>1.765625</v>
      </c>
      <c r="E52" s="5">
        <f t="shared" si="12"/>
        <v>-0.16726493526543162</v>
      </c>
      <c r="F52" s="5">
        <f t="shared" si="12"/>
        <v>5.7561880955994127E-3</v>
      </c>
      <c r="G52" s="5">
        <f t="shared" si="12"/>
        <v>-8.2085517878812908E-2</v>
      </c>
    </row>
    <row r="53" spans="1:7" x14ac:dyDescent="0.25">
      <c r="A53" s="5">
        <f t="shared" si="13"/>
        <v>5</v>
      </c>
      <c r="B53" s="5">
        <f t="shared" si="14"/>
        <v>1.765625</v>
      </c>
      <c r="C53" s="5">
        <f t="shared" si="15"/>
        <v>1.78125</v>
      </c>
      <c r="D53" s="5">
        <f t="shared" si="16"/>
        <v>1.7734375</v>
      </c>
      <c r="E53" s="5">
        <f t="shared" si="12"/>
        <v>-8.2085517878812908E-2</v>
      </c>
      <c r="F53" s="5">
        <f t="shared" si="12"/>
        <v>5.7561880955994127E-3</v>
      </c>
      <c r="G53" s="5">
        <f t="shared" si="12"/>
        <v>-3.8498954300466792E-2</v>
      </c>
    </row>
    <row r="54" spans="1:7" x14ac:dyDescent="0.25">
      <c r="A54" s="5">
        <f t="shared" si="13"/>
        <v>6</v>
      </c>
      <c r="B54" s="5">
        <f t="shared" si="14"/>
        <v>1.7734375</v>
      </c>
      <c r="C54" s="5">
        <f t="shared" si="15"/>
        <v>1.78125</v>
      </c>
      <c r="D54" s="5">
        <f t="shared" si="16"/>
        <v>1.77734375</v>
      </c>
      <c r="E54" s="5">
        <f t="shared" si="12"/>
        <v>-3.8498954300466792E-2</v>
      </c>
      <c r="F54" s="5">
        <f t="shared" si="12"/>
        <v>5.7561880955994127E-3</v>
      </c>
      <c r="G54" s="5">
        <f t="shared" si="12"/>
        <v>-1.6455143251628002E-2</v>
      </c>
    </row>
    <row r="55" spans="1:7" x14ac:dyDescent="0.25">
      <c r="A55" s="5">
        <f t="shared" si="13"/>
        <v>7</v>
      </c>
      <c r="B55" s="5">
        <f t="shared" si="14"/>
        <v>1.77734375</v>
      </c>
      <c r="C55" s="5">
        <f t="shared" si="15"/>
        <v>1.78125</v>
      </c>
      <c r="D55" s="5">
        <f t="shared" si="16"/>
        <v>1.779296875</v>
      </c>
      <c r="E55" s="5">
        <f t="shared" si="12"/>
        <v>-1.6455143251628002E-2</v>
      </c>
      <c r="F55" s="5">
        <f t="shared" si="12"/>
        <v>5.7561880955994127E-3</v>
      </c>
      <c r="G55" s="5">
        <f t="shared" si="12"/>
        <v>-5.3704410824852999E-3</v>
      </c>
    </row>
    <row r="56" spans="1:7" x14ac:dyDescent="0.25">
      <c r="A56" s="10">
        <f t="shared" si="13"/>
        <v>8</v>
      </c>
      <c r="B56" s="10">
        <f t="shared" si="14"/>
        <v>1.779296875</v>
      </c>
      <c r="C56" s="10">
        <f t="shared" si="15"/>
        <v>1.78125</v>
      </c>
      <c r="D56" s="10">
        <f t="shared" si="16"/>
        <v>1.7802734375</v>
      </c>
      <c r="E56" s="10">
        <f t="shared" si="12"/>
        <v>-5.3704410824852999E-3</v>
      </c>
      <c r="F56" s="10">
        <f t="shared" si="12"/>
        <v>5.7561880955994127E-3</v>
      </c>
      <c r="G56" s="10">
        <f t="shared" si="12"/>
        <v>1.8762969750696357E-4</v>
      </c>
    </row>
  </sheetData>
  <mergeCells count="4">
    <mergeCell ref="A1:H1"/>
    <mergeCell ref="B3:H3"/>
    <mergeCell ref="B5:E5"/>
    <mergeCell ref="D13:H1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919B-E696-4415-8523-7192E804E1C4}">
  <dimension ref="A1:L29"/>
  <sheetViews>
    <sheetView workbookViewId="0">
      <selection activeCell="C19" sqref="C19"/>
    </sheetView>
  </sheetViews>
  <sheetFormatPr baseColWidth="10" defaultColWidth="9.140625" defaultRowHeight="15" x14ac:dyDescent="0.25"/>
  <cols>
    <col min="1" max="12" width="14" customWidth="1"/>
  </cols>
  <sheetData>
    <row r="1" spans="1:12" ht="18.75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25">
      <c r="A3" s="3" t="s">
        <v>62</v>
      </c>
      <c r="B3" s="2" t="s">
        <v>63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x14ac:dyDescent="0.25">
      <c r="A5" s="3" t="s">
        <v>33</v>
      </c>
      <c r="B5" s="2" t="s">
        <v>64</v>
      </c>
      <c r="C5" s="2"/>
      <c r="D5" s="2"/>
      <c r="E5" s="2"/>
      <c r="G5" s="6" t="s">
        <v>32</v>
      </c>
    </row>
    <row r="6" spans="1:12" x14ac:dyDescent="0.25">
      <c r="A6" s="3" t="s">
        <v>31</v>
      </c>
      <c r="B6" s="2" t="s">
        <v>73</v>
      </c>
      <c r="C6" s="2"/>
      <c r="D6" s="2"/>
      <c r="E6" s="2"/>
      <c r="G6" s="6" t="s">
        <v>29</v>
      </c>
    </row>
    <row r="8" spans="1:12" x14ac:dyDescent="0.25">
      <c r="A8" s="3" t="s">
        <v>74</v>
      </c>
      <c r="E8" s="3" t="s">
        <v>75</v>
      </c>
      <c r="I8" s="3" t="s">
        <v>76</v>
      </c>
    </row>
    <row r="10" spans="1:12" x14ac:dyDescent="0.25">
      <c r="A10" s="4" t="s">
        <v>16</v>
      </c>
      <c r="B10" s="4" t="s">
        <v>26</v>
      </c>
      <c r="C10" s="4" t="s">
        <v>25</v>
      </c>
      <c r="D10" s="4" t="s">
        <v>24</v>
      </c>
      <c r="E10" s="4" t="s">
        <v>16</v>
      </c>
      <c r="F10" s="4" t="s">
        <v>26</v>
      </c>
      <c r="G10" s="4" t="s">
        <v>25</v>
      </c>
      <c r="H10" s="4" t="s">
        <v>24</v>
      </c>
      <c r="I10" s="4" t="s">
        <v>16</v>
      </c>
      <c r="J10" s="4" t="s">
        <v>26</v>
      </c>
      <c r="K10" s="4" t="s">
        <v>25</v>
      </c>
      <c r="L10" s="4" t="s">
        <v>24</v>
      </c>
    </row>
    <row r="11" spans="1:12" x14ac:dyDescent="0.25">
      <c r="A11" s="5">
        <f>0</f>
        <v>0</v>
      </c>
      <c r="B11" s="5">
        <f>-1.2</f>
        <v>-1.2</v>
      </c>
      <c r="C11" s="5">
        <f>B11^3-B11^2*EXP(-0.5*B11)-3*B11+1</f>
        <v>0.2481489274376667</v>
      </c>
      <c r="D11" s="5">
        <f>3*B11^2+(0.5*B11^2-2*B11)*EXP(-0.5*B11)-3</f>
        <v>7.0050106572183886</v>
      </c>
      <c r="E11" s="5">
        <f>0</f>
        <v>0</v>
      </c>
      <c r="F11" s="5">
        <f>0.3</f>
        <v>0.3</v>
      </c>
      <c r="G11" s="5">
        <f>F11^3-F11^2*EXP(-0.5*F11)-3*F11+1</f>
        <v>4.9536282121744879E-2</v>
      </c>
      <c r="H11" s="5">
        <f>3*F11^2+(0.5*F11^2-2*F11)*EXP(-0.5*F11)-3</f>
        <v>-3.2076929269159069</v>
      </c>
      <c r="I11" s="5">
        <f>0</f>
        <v>0</v>
      </c>
      <c r="J11" s="5">
        <f>1.8</f>
        <v>1.8</v>
      </c>
      <c r="K11" s="5">
        <f>J11^3-J11^2*EXP(-0.5*J11)-3*J11+1</f>
        <v>0.11471430244045955</v>
      </c>
      <c r="L11" s="5">
        <f>3*J11^2+(0.5*J11^2-2*J11)*EXP(-0.5*J11)-3</f>
        <v>5.9149920737136146</v>
      </c>
    </row>
    <row r="12" spans="1:12" x14ac:dyDescent="0.25">
      <c r="A12" s="5">
        <f>A11+1</f>
        <v>1</v>
      </c>
      <c r="B12" s="5">
        <f>B11-C11/D11</f>
        <v>-1.2354244896375652</v>
      </c>
      <c r="C12" s="5">
        <f>B12^3-B12^2*EXP(-0.5*B12)-3*B12+1</f>
        <v>-1.0071849147345269E-2</v>
      </c>
      <c r="D12" s="5">
        <f>3*B12^2+(0.5*B12^2-2*B12)*EXP(-0.5*B12)-3</f>
        <v>7.5768302405675314</v>
      </c>
      <c r="E12" s="5">
        <f>E11+1</f>
        <v>1</v>
      </c>
      <c r="F12" s="5">
        <f>F11-G11/H11</f>
        <v>0.31544296266830391</v>
      </c>
      <c r="G12" s="5">
        <f>F12^3-F12^2*EXP(-0.5*F12)-3*F12+1</f>
        <v>7.3671696567689793E-5</v>
      </c>
      <c r="H12" s="5">
        <f>3*F12^2+(0.5*F12^2-2*F12)*EXP(-0.5*F12)-3</f>
        <v>-3.1978263956782964</v>
      </c>
      <c r="I12" s="5">
        <f>I11+1</f>
        <v>1</v>
      </c>
      <c r="J12" s="5">
        <f>J11-K11/L11</f>
        <v>1.7806061781637454</v>
      </c>
      <c r="K12" s="5">
        <f>J12^3-J12^2*EXP(-0.5*J12)-3*J12+1</f>
        <v>2.0838065532355898E-3</v>
      </c>
      <c r="L12" s="5">
        <f>3*J12^2+(0.5*J12^2-2*J12)*EXP(-0.5*J12)-3</f>
        <v>5.7004926573835668</v>
      </c>
    </row>
    <row r="13" spans="1:12" x14ac:dyDescent="0.25">
      <c r="A13" s="10">
        <f>A12+1</f>
        <v>2</v>
      </c>
      <c r="B13" s="10">
        <f>B12-C12/D12</f>
        <v>-1.2340951937674507</v>
      </c>
      <c r="C13" s="10">
        <f>B13^3-B13^2*EXP(-0.5*B13)-3*B13+1</f>
        <v>-1.4494420002009178E-5</v>
      </c>
      <c r="D13" s="10">
        <f>3*B13^2+(0.5*B13^2-2*B13)*EXP(-0.5*B13)-3</f>
        <v>7.5550270953337026</v>
      </c>
      <c r="E13" s="10">
        <f>E12+1</f>
        <v>2</v>
      </c>
      <c r="F13" s="10">
        <f>F12-G12/H12</f>
        <v>0.31546600072211045</v>
      </c>
      <c r="G13" s="10">
        <f>F13^3-F13^2*EXP(-0.5*F13)-3*F13+1</f>
        <v>1.8632861920053756E-10</v>
      </c>
      <c r="H13" s="10">
        <f>3*F13^2+(0.5*F13^2-2*F13)*EXP(-0.5*F13)-3</f>
        <v>-3.19781021922915</v>
      </c>
      <c r="I13" s="10">
        <f>I12+1</f>
        <v>2</v>
      </c>
      <c r="J13" s="10">
        <f>J12-K12/L12</f>
        <v>1.780240629661453</v>
      </c>
      <c r="K13" s="10">
        <f>J13^3-J13^2*EXP(-0.5*J13)-3*J13+1</f>
        <v>7.3483401319407449E-7</v>
      </c>
      <c r="L13" s="10">
        <f>3*J13^2+(0.5*J13^2-2*J13)*EXP(-0.5*J13)-3</f>
        <v>5.6964723516064684</v>
      </c>
    </row>
    <row r="18" spans="1:2" x14ac:dyDescent="0.25">
      <c r="A18" s="4" t="s">
        <v>6</v>
      </c>
      <c r="B18" s="4" t="s">
        <v>7</v>
      </c>
    </row>
    <row r="19" spans="1:2" x14ac:dyDescent="0.25">
      <c r="A19" s="5">
        <f>-2</f>
        <v>-2</v>
      </c>
      <c r="B19" s="5">
        <f>A19^3-A19^2*EXP(-0.5*A19)-3*A19+1</f>
        <v>-11.873127313836179</v>
      </c>
    </row>
    <row r="20" spans="1:2" x14ac:dyDescent="0.25">
      <c r="A20" s="5">
        <f>A19+0.5</f>
        <v>-1.5</v>
      </c>
      <c r="B20" s="5">
        <f t="shared" ref="B20:B29" si="0">A20^3-A20^2*EXP(-0.5*A20)-3*A20+1</f>
        <v>-2.6382500373785192</v>
      </c>
    </row>
    <row r="21" spans="1:2" x14ac:dyDescent="0.25">
      <c r="A21" s="5">
        <f t="shared" ref="A21:A29" si="1">A20+0.5</f>
        <v>-1</v>
      </c>
      <c r="B21" s="5">
        <f t="shared" si="0"/>
        <v>1.3512787292998718</v>
      </c>
    </row>
    <row r="22" spans="1:2" x14ac:dyDescent="0.25">
      <c r="A22" s="5">
        <f t="shared" si="1"/>
        <v>-0.5</v>
      </c>
      <c r="B22" s="5">
        <f t="shared" si="0"/>
        <v>2.0539936458280645</v>
      </c>
    </row>
    <row r="23" spans="1:2" x14ac:dyDescent="0.25">
      <c r="A23" s="5">
        <f t="shared" si="1"/>
        <v>0</v>
      </c>
      <c r="B23" s="5">
        <f t="shared" si="0"/>
        <v>1</v>
      </c>
    </row>
    <row r="24" spans="1:2" x14ac:dyDescent="0.25">
      <c r="A24" s="5">
        <f t="shared" si="1"/>
        <v>0.5</v>
      </c>
      <c r="B24" s="5">
        <f t="shared" si="0"/>
        <v>-0.56970019576785114</v>
      </c>
    </row>
    <row r="25" spans="1:2" x14ac:dyDescent="0.25">
      <c r="A25" s="5">
        <f t="shared" si="1"/>
        <v>1</v>
      </c>
      <c r="B25" s="5">
        <f t="shared" si="0"/>
        <v>-1.6065306597126332</v>
      </c>
    </row>
    <row r="26" spans="1:2" x14ac:dyDescent="0.25">
      <c r="A26" s="5">
        <f t="shared" si="1"/>
        <v>1.5</v>
      </c>
      <c r="B26" s="5">
        <f t="shared" si="0"/>
        <v>-1.1878247436672833</v>
      </c>
    </row>
    <row r="27" spans="1:2" x14ac:dyDescent="0.25">
      <c r="A27" s="5">
        <f t="shared" si="1"/>
        <v>2</v>
      </c>
      <c r="B27" s="5">
        <f t="shared" si="0"/>
        <v>1.5284822353142307</v>
      </c>
    </row>
    <row r="28" spans="1:2" x14ac:dyDescent="0.25">
      <c r="A28" s="5">
        <f t="shared" si="1"/>
        <v>2.5</v>
      </c>
      <c r="B28" s="5">
        <f t="shared" si="0"/>
        <v>7.3343450196238127</v>
      </c>
    </row>
    <row r="29" spans="1:2" x14ac:dyDescent="0.25">
      <c r="A29" s="5">
        <f t="shared" si="1"/>
        <v>3</v>
      </c>
      <c r="B29" s="5">
        <f t="shared" si="0"/>
        <v>16.991828558664132</v>
      </c>
    </row>
  </sheetData>
  <mergeCells count="4">
    <mergeCell ref="A1:L1"/>
    <mergeCell ref="B3:L3"/>
    <mergeCell ref="B5:E5"/>
    <mergeCell ref="B6:E6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8BD4-EB05-40E6-B6F1-874ADAF71BBD}">
  <dimension ref="A1:L29"/>
  <sheetViews>
    <sheetView topLeftCell="A4" zoomScale="110" zoomScaleNormal="110" workbookViewId="0">
      <selection activeCell="B15" sqref="B15"/>
    </sheetView>
  </sheetViews>
  <sheetFormatPr baseColWidth="10" defaultColWidth="9.140625" defaultRowHeight="15" x14ac:dyDescent="0.25"/>
  <cols>
    <col min="1" max="12" width="14" customWidth="1"/>
  </cols>
  <sheetData>
    <row r="1" spans="1:12" ht="18.75" x14ac:dyDescent="0.3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25">
      <c r="A3" s="3" t="s">
        <v>62</v>
      </c>
      <c r="B3" s="2" t="s">
        <v>63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x14ac:dyDescent="0.25">
      <c r="A5" s="3" t="s">
        <v>57</v>
      </c>
      <c r="B5" s="2" t="s">
        <v>64</v>
      </c>
      <c r="C5" s="2"/>
      <c r="D5" s="2"/>
      <c r="E5" s="2"/>
    </row>
    <row r="7" spans="1:12" x14ac:dyDescent="0.25">
      <c r="A7" s="3" t="s">
        <v>5</v>
      </c>
    </row>
    <row r="9" spans="1:12" x14ac:dyDescent="0.25">
      <c r="A9" s="4" t="s">
        <v>6</v>
      </c>
      <c r="B9" s="4" t="s">
        <v>7</v>
      </c>
    </row>
    <row r="10" spans="1:12" x14ac:dyDescent="0.25">
      <c r="A10" s="5">
        <f>-2</f>
        <v>-2</v>
      </c>
      <c r="B10" s="5">
        <f>A10^3-A10^2*EXP(-0.5*A10)-3*A10+1</f>
        <v>-11.873127313836179</v>
      </c>
      <c r="D10" s="2" t="s">
        <v>77</v>
      </c>
      <c r="E10" s="2"/>
      <c r="F10" s="2"/>
      <c r="G10" s="2"/>
      <c r="H10" s="2"/>
    </row>
    <row r="11" spans="1:12" x14ac:dyDescent="0.25">
      <c r="A11" s="5">
        <f>A10+0.5</f>
        <v>-1.5</v>
      </c>
      <c r="B11" s="5">
        <f t="shared" ref="B11:B14" si="0">A11^3-A11^2*EXP(-0.5*A11)-3*A11+1</f>
        <v>-2.6382500373785192</v>
      </c>
    </row>
    <row r="12" spans="1:12" x14ac:dyDescent="0.25">
      <c r="A12" s="5">
        <f t="shared" ref="A12:A14" si="1">A11+0.5</f>
        <v>-1</v>
      </c>
      <c r="B12" s="5">
        <f t="shared" si="0"/>
        <v>1.3512787292998718</v>
      </c>
      <c r="D12" s="3" t="s">
        <v>9</v>
      </c>
      <c r="E12" s="6" t="s">
        <v>32</v>
      </c>
    </row>
    <row r="13" spans="1:12" x14ac:dyDescent="0.25">
      <c r="A13" s="5">
        <f t="shared" si="1"/>
        <v>-0.5</v>
      </c>
      <c r="B13" s="5">
        <f t="shared" si="0"/>
        <v>2.0539936458280645</v>
      </c>
      <c r="D13" t="s">
        <v>12</v>
      </c>
      <c r="E13" s="6" t="s">
        <v>37</v>
      </c>
    </row>
    <row r="14" spans="1:12" x14ac:dyDescent="0.25">
      <c r="A14" s="5">
        <f t="shared" si="1"/>
        <v>0</v>
      </c>
      <c r="B14" s="5">
        <f t="shared" si="0"/>
        <v>1</v>
      </c>
    </row>
    <row r="15" spans="1:12" x14ac:dyDescent="0.25">
      <c r="A15" s="8" t="s">
        <v>78</v>
      </c>
      <c r="B15" s="9">
        <v>-0.56970019576785114</v>
      </c>
      <c r="E15" s="3" t="s">
        <v>71</v>
      </c>
      <c r="I15" s="3" t="s">
        <v>72</v>
      </c>
    </row>
    <row r="16" spans="1:12" x14ac:dyDescent="0.25">
      <c r="A16" s="4" t="s">
        <v>16</v>
      </c>
      <c r="B16" s="4" t="s">
        <v>26</v>
      </c>
      <c r="C16" s="4" t="s">
        <v>25</v>
      </c>
      <c r="E16" s="4" t="s">
        <v>16</v>
      </c>
      <c r="F16" s="4" t="s">
        <v>26</v>
      </c>
      <c r="G16" s="4" t="s">
        <v>25</v>
      </c>
      <c r="I16" s="4" t="s">
        <v>16</v>
      </c>
      <c r="J16" s="4" t="s">
        <v>26</v>
      </c>
      <c r="K16" s="4" t="s">
        <v>25</v>
      </c>
    </row>
    <row r="17" spans="1:12" x14ac:dyDescent="0.25">
      <c r="A17" s="9">
        <f>0</f>
        <v>0</v>
      </c>
      <c r="B17" s="9">
        <f>-1.5</f>
        <v>-1.5</v>
      </c>
      <c r="C17" s="5">
        <f>B17^3-B17^2*EXP(-0.5*B17)-3*B17+1</f>
        <v>-2.6382500373785192</v>
      </c>
      <c r="E17" s="5">
        <f>0</f>
        <v>0</v>
      </c>
      <c r="F17" s="5">
        <f>0</f>
        <v>0</v>
      </c>
      <c r="G17" s="5">
        <f>F17^3-F17^2*EXP(-0.5*F17)-3*F17+1</f>
        <v>1</v>
      </c>
      <c r="I17" s="5">
        <f>0</f>
        <v>0</v>
      </c>
      <c r="J17" s="5">
        <f>1.5</f>
        <v>1.5</v>
      </c>
      <c r="K17" s="5">
        <f>J17^3-J17^2*EXP(-0.5*J17)-3*J17+1</f>
        <v>-1.1878247436672833</v>
      </c>
    </row>
    <row r="18" spans="1:12" x14ac:dyDescent="0.25">
      <c r="A18" s="9">
        <f>1</f>
        <v>1</v>
      </c>
      <c r="B18" s="9">
        <f>-1</f>
        <v>-1</v>
      </c>
      <c r="C18" s="5">
        <f>B18^3-B18^2*EXP(-0.5*B18)-3*B18+1</f>
        <v>1.3512787292998718</v>
      </c>
      <c r="E18" s="5">
        <f>1</f>
        <v>1</v>
      </c>
      <c r="F18" s="5">
        <f>0.5</f>
        <v>0.5</v>
      </c>
      <c r="G18" s="5">
        <f>F18^3-F18^2*EXP(-0.5*F18)-3*F18+1</f>
        <v>-0.56970019576785114</v>
      </c>
      <c r="I18" s="5">
        <f>1</f>
        <v>1</v>
      </c>
      <c r="J18" s="5">
        <f>2</f>
        <v>2</v>
      </c>
      <c r="K18" s="5">
        <f>J18^3-J18^2*EXP(-0.5*J18)-3*J18+1</f>
        <v>1.5284822353142307</v>
      </c>
    </row>
    <row r="19" spans="1:12" x14ac:dyDescent="0.25">
      <c r="A19" s="5">
        <f>A18+1</f>
        <v>2</v>
      </c>
      <c r="B19" s="5">
        <f>B18-C18*(B17-B18)/(C17-C18)</f>
        <v>-1.1693531753156052</v>
      </c>
      <c r="C19" s="5">
        <f>B19^3-B19^2*EXP(-0.5*B19)-3*B19+1</f>
        <v>0.45544797559724204</v>
      </c>
      <c r="E19" s="5">
        <f>E18+1</f>
        <v>2</v>
      </c>
      <c r="F19" s="5">
        <f>F18-G18*(F17-F18)/(G17-G18)</f>
        <v>0.31853216387949468</v>
      </c>
      <c r="G19" s="5">
        <f>F19^3-F19^2*EXP(-0.5*F19)-3*F19+1</f>
        <v>-9.8016673746958993E-3</v>
      </c>
      <c r="I19" s="5">
        <f>I18+1</f>
        <v>2</v>
      </c>
      <c r="J19" s="5">
        <f>J18-K18*(J17-J18)/(K17-K18)</f>
        <v>1.7186469999264702</v>
      </c>
      <c r="K19" s="5">
        <f>J19^3-J19^2*EXP(-0.5*J19)-3*J19+1</f>
        <v>-0.33025150259725455</v>
      </c>
    </row>
    <row r="20" spans="1:12" x14ac:dyDescent="0.25">
      <c r="A20" s="5">
        <f t="shared" ref="A20:A23" si="2">A19+1</f>
        <v>3</v>
      </c>
      <c r="B20" s="5">
        <f t="shared" ref="B20:B23" si="3">B19-C19*(B18-B19)/(C18-C19)</f>
        <v>-1.2554537702546142</v>
      </c>
      <c r="C20" s="5">
        <f t="shared" ref="C20:C23" si="4">B20^3-B20^2*EXP(-0.5*B20)-3*B20+1</f>
        <v>-0.16514298950341288</v>
      </c>
      <c r="E20" s="5">
        <f t="shared" ref="E20:E21" si="5">E19+1</f>
        <v>3</v>
      </c>
      <c r="F20" s="5">
        <f t="shared" ref="F20:F21" si="6">F19-G19*(F18-F19)/(G18-G19)</f>
        <v>0.31535536080061599</v>
      </c>
      <c r="G20" s="5">
        <f t="shared" ref="G20:G21" si="7">F20^3-F20^2*EXP(-0.5*F20)-3*F20+1</f>
        <v>3.5380995432121587E-4</v>
      </c>
      <c r="I20" s="5">
        <f t="shared" ref="I20:I22" si="8">I19+1</f>
        <v>3</v>
      </c>
      <c r="J20" s="5">
        <f t="shared" ref="J20:J22" si="9">J19-K19*(J18-J19)/(K18-K19)</f>
        <v>1.7686365434201674</v>
      </c>
      <c r="K20" s="5">
        <f t="shared" ref="K20:K22" si="10">J20^3-J20^2*EXP(-0.5*J20)-3*J20+1</f>
        <v>-6.5362872245422032E-2</v>
      </c>
    </row>
    <row r="21" spans="1:12" x14ac:dyDescent="0.25">
      <c r="A21" s="5">
        <f t="shared" si="2"/>
        <v>4</v>
      </c>
      <c r="B21" s="5">
        <f t="shared" si="3"/>
        <v>-1.2325418839303521</v>
      </c>
      <c r="C21" s="5">
        <f t="shared" si="4"/>
        <v>1.1701038205524483E-2</v>
      </c>
      <c r="E21" s="10">
        <f t="shared" si="5"/>
        <v>4</v>
      </c>
      <c r="F21" s="10">
        <f t="shared" si="6"/>
        <v>0.31546603846901217</v>
      </c>
      <c r="G21" s="10">
        <f t="shared" si="7"/>
        <v>-1.2052109887861207E-7</v>
      </c>
      <c r="I21" s="5">
        <f t="shared" si="8"/>
        <v>4</v>
      </c>
      <c r="J21" s="5">
        <f t="shared" si="9"/>
        <v>1.7809717657384887</v>
      </c>
      <c r="K21" s="5">
        <f t="shared" si="10"/>
        <v>4.1685709323697751E-3</v>
      </c>
    </row>
    <row r="22" spans="1:12" x14ac:dyDescent="0.25">
      <c r="A22" s="5">
        <f t="shared" si="2"/>
        <v>5</v>
      </c>
      <c r="B22" s="5">
        <f t="shared" si="3"/>
        <v>-1.2340578687261863</v>
      </c>
      <c r="C22" s="5">
        <f t="shared" si="4"/>
        <v>2.6748586001179575E-4</v>
      </c>
      <c r="I22" s="10">
        <f t="shared" si="8"/>
        <v>5</v>
      </c>
      <c r="J22" s="10">
        <f t="shared" si="9"/>
        <v>1.7802322406135895</v>
      </c>
      <c r="K22" s="10">
        <f t="shared" si="10"/>
        <v>-4.7052758239907178E-5</v>
      </c>
    </row>
    <row r="23" spans="1:12" x14ac:dyDescent="0.25">
      <c r="A23" s="10">
        <f t="shared" si="2"/>
        <v>6</v>
      </c>
      <c r="B23" s="10">
        <f t="shared" si="3"/>
        <v>-1.234093334912427</v>
      </c>
      <c r="C23" s="10">
        <f t="shared" si="4"/>
        <v>-4.5074825116842021E-7</v>
      </c>
    </row>
    <row r="28" spans="1:12" x14ac:dyDescent="0.25">
      <c r="A28" s="3" t="s">
        <v>38</v>
      </c>
    </row>
    <row r="29" spans="1:12" x14ac:dyDescent="0.25">
      <c r="A29" s="2" t="s">
        <v>60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</sheetData>
  <mergeCells count="5">
    <mergeCell ref="A1:L1"/>
    <mergeCell ref="B3:L3"/>
    <mergeCell ref="B5:E5"/>
    <mergeCell ref="D10:H10"/>
    <mergeCell ref="A29:L29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2D51-9274-4496-9B37-4E34EB1E1375}">
  <dimension ref="A1:G42"/>
  <sheetViews>
    <sheetView topLeftCell="A12" workbookViewId="0">
      <selection activeCell="J17" sqref="J17"/>
    </sheetView>
  </sheetViews>
  <sheetFormatPr baseColWidth="10" defaultColWidth="9.140625" defaultRowHeight="15" x14ac:dyDescent="0.25"/>
  <cols>
    <col min="1" max="7" width="16" customWidth="1"/>
  </cols>
  <sheetData>
    <row r="1" spans="1:7" ht="18.75" x14ac:dyDescent="0.3">
      <c r="A1" s="1" t="s">
        <v>0</v>
      </c>
      <c r="B1" s="2"/>
      <c r="C1" s="2"/>
      <c r="D1" s="2"/>
      <c r="E1" s="2"/>
      <c r="F1" s="2"/>
      <c r="G1" s="2"/>
    </row>
    <row r="3" spans="1:7" x14ac:dyDescent="0.25">
      <c r="A3" s="3" t="s">
        <v>79</v>
      </c>
      <c r="B3" s="2" t="s">
        <v>80</v>
      </c>
      <c r="C3" s="2"/>
      <c r="D3" s="2"/>
      <c r="E3" s="2"/>
      <c r="F3" s="2"/>
      <c r="G3" s="2"/>
    </row>
    <row r="5" spans="1:7" x14ac:dyDescent="0.25">
      <c r="A5" s="3" t="s">
        <v>57</v>
      </c>
      <c r="B5" s="2" t="s">
        <v>81</v>
      </c>
      <c r="C5" s="2"/>
      <c r="D5" s="2"/>
      <c r="E5" s="2"/>
      <c r="F5" s="6" t="s">
        <v>32</v>
      </c>
    </row>
    <row r="6" spans="1:7" x14ac:dyDescent="0.25">
      <c r="F6" s="6" t="s">
        <v>65</v>
      </c>
    </row>
    <row r="7" spans="1:7" x14ac:dyDescent="0.25">
      <c r="A7" s="3" t="s">
        <v>66</v>
      </c>
    </row>
    <row r="8" spans="1:7" x14ac:dyDescent="0.25">
      <c r="A8" t="s">
        <v>82</v>
      </c>
    </row>
    <row r="9" spans="1:7" x14ac:dyDescent="0.25">
      <c r="A9" t="s">
        <v>83</v>
      </c>
    </row>
    <row r="12" spans="1:7" x14ac:dyDescent="0.25">
      <c r="A12" s="4" t="s">
        <v>6</v>
      </c>
      <c r="B12" s="4" t="s">
        <v>7</v>
      </c>
    </row>
    <row r="13" spans="1:7" x14ac:dyDescent="0.25">
      <c r="A13" s="5">
        <f>0</f>
        <v>0</v>
      </c>
      <c r="B13" s="5">
        <f>COS(A13)^2-0.5*A13*EXP(0.3*A13)+5</f>
        <v>6</v>
      </c>
      <c r="D13" s="17" t="s">
        <v>84</v>
      </c>
      <c r="E13" s="2"/>
      <c r="F13" s="2"/>
      <c r="G13" s="2"/>
    </row>
    <row r="14" spans="1:7" x14ac:dyDescent="0.25">
      <c r="A14" s="5">
        <f>A13+1</f>
        <v>1</v>
      </c>
      <c r="B14" s="5">
        <f t="shared" ref="B14:B19" si="0">COS(A14)^2-0.5*A14*EXP(0.3*A14)+5</f>
        <v>4.6169971779384271</v>
      </c>
    </row>
    <row r="15" spans="1:7" x14ac:dyDescent="0.25">
      <c r="A15" s="5">
        <f t="shared" ref="A15:A19" si="1">A14+1</f>
        <v>2</v>
      </c>
      <c r="B15" s="5">
        <f t="shared" si="0"/>
        <v>3.351059389177685</v>
      </c>
    </row>
    <row r="16" spans="1:7" x14ac:dyDescent="0.25">
      <c r="A16" s="5">
        <f t="shared" si="1"/>
        <v>3</v>
      </c>
      <c r="B16" s="5">
        <f t="shared" si="0"/>
        <v>2.2906804765897588</v>
      </c>
    </row>
    <row r="17" spans="1:7" x14ac:dyDescent="0.25">
      <c r="A17" s="5">
        <f t="shared" si="1"/>
        <v>4</v>
      </c>
      <c r="B17" s="5">
        <f t="shared" si="0"/>
        <v>-1.212983862377401</v>
      </c>
    </row>
    <row r="18" spans="1:7" x14ac:dyDescent="0.25">
      <c r="A18" s="5">
        <f t="shared" si="1"/>
        <v>5</v>
      </c>
      <c r="B18" s="5">
        <f t="shared" si="0"/>
        <v>-6.1237584403833871</v>
      </c>
    </row>
    <row r="19" spans="1:7" x14ac:dyDescent="0.25">
      <c r="A19" s="5">
        <f t="shared" si="1"/>
        <v>6</v>
      </c>
      <c r="B19" s="5">
        <f t="shared" si="0"/>
        <v>-12.227015413872586</v>
      </c>
    </row>
    <row r="20" spans="1:7" x14ac:dyDescent="0.25">
      <c r="A20" s="3" t="s">
        <v>85</v>
      </c>
    </row>
    <row r="22" spans="1:7" x14ac:dyDescent="0.25">
      <c r="A22" s="4" t="s">
        <v>16</v>
      </c>
      <c r="B22" s="4" t="s">
        <v>17</v>
      </c>
      <c r="C22" s="4" t="s">
        <v>18</v>
      </c>
      <c r="D22" s="4" t="s">
        <v>19</v>
      </c>
      <c r="E22" s="4" t="s">
        <v>20</v>
      </c>
      <c r="F22" s="4" t="s">
        <v>21</v>
      </c>
      <c r="G22" s="4" t="s">
        <v>22</v>
      </c>
    </row>
    <row r="23" spans="1:7" x14ac:dyDescent="0.25">
      <c r="A23" s="5">
        <f>0</f>
        <v>0</v>
      </c>
      <c r="B23" s="5">
        <f>3</f>
        <v>3</v>
      </c>
      <c r="C23" s="5">
        <f>4</f>
        <v>4</v>
      </c>
      <c r="D23" s="5">
        <f>(B23+C23)/2</f>
        <v>3.5</v>
      </c>
      <c r="E23" s="5">
        <f t="shared" ref="E23:G38" si="2">COS(B23)^2-0.5*B23*EXP(0.3*B23)+5</f>
        <v>2.2906804765897588</v>
      </c>
      <c r="F23" s="5">
        <f t="shared" si="2"/>
        <v>-1.212983862377401</v>
      </c>
      <c r="G23" s="5">
        <f t="shared" si="2"/>
        <v>0.87606167056111595</v>
      </c>
    </row>
    <row r="24" spans="1:7" x14ac:dyDescent="0.25">
      <c r="A24" s="5">
        <f>A23+1</f>
        <v>1</v>
      </c>
      <c r="B24" s="5">
        <f>IF(E23*G23&lt;0,B23,D23)</f>
        <v>3.5</v>
      </c>
      <c r="C24" s="5">
        <f>IF(F23*G23&lt;0,C23,D23)</f>
        <v>4</v>
      </c>
      <c r="D24" s="5">
        <f>(B24+C24)/2</f>
        <v>3.75</v>
      </c>
      <c r="E24" s="5">
        <f t="shared" si="2"/>
        <v>0.87606167056111595</v>
      </c>
      <c r="F24" s="5">
        <f t="shared" si="2"/>
        <v>-1.212983862377401</v>
      </c>
      <c r="G24" s="5">
        <f t="shared" si="2"/>
        <v>-0.10208893280379527</v>
      </c>
    </row>
    <row r="25" spans="1:7" x14ac:dyDescent="0.25">
      <c r="A25" s="5">
        <f t="shared" ref="A25:A38" si="3">A24+1</f>
        <v>2</v>
      </c>
      <c r="B25" s="5">
        <f t="shared" ref="B25:B38" si="4">IF(E24*G24&lt;0,B24,D24)</f>
        <v>3.5</v>
      </c>
      <c r="C25" s="5">
        <f t="shared" ref="C25:C38" si="5">IF(F24*G24&lt;0,C24,D24)</f>
        <v>3.75</v>
      </c>
      <c r="D25" s="5">
        <f t="shared" ref="D25:D38" si="6">(B25+C25)/2</f>
        <v>3.625</v>
      </c>
      <c r="E25" s="5">
        <f t="shared" si="2"/>
        <v>0.87606167056111595</v>
      </c>
      <c r="F25" s="5">
        <f t="shared" si="2"/>
        <v>-0.10208893280379527</v>
      </c>
      <c r="G25" s="5">
        <f t="shared" si="2"/>
        <v>0.40655067707081294</v>
      </c>
    </row>
    <row r="26" spans="1:7" x14ac:dyDescent="0.25">
      <c r="A26" s="5">
        <f t="shared" si="3"/>
        <v>3</v>
      </c>
      <c r="B26" s="5">
        <f t="shared" si="4"/>
        <v>3.625</v>
      </c>
      <c r="C26" s="5">
        <f t="shared" si="5"/>
        <v>3.75</v>
      </c>
      <c r="D26" s="5">
        <f t="shared" si="6"/>
        <v>3.6875</v>
      </c>
      <c r="E26" s="5">
        <f t="shared" si="2"/>
        <v>0.40655067707081294</v>
      </c>
      <c r="F26" s="5">
        <f t="shared" si="2"/>
        <v>-0.10208893280379527</v>
      </c>
      <c r="G26" s="5">
        <f t="shared" si="2"/>
        <v>0.15677999132921183</v>
      </c>
    </row>
    <row r="27" spans="1:7" x14ac:dyDescent="0.25">
      <c r="A27" s="5">
        <f t="shared" si="3"/>
        <v>4</v>
      </c>
      <c r="B27" s="5">
        <f t="shared" si="4"/>
        <v>3.6875</v>
      </c>
      <c r="C27" s="5">
        <f t="shared" si="5"/>
        <v>3.75</v>
      </c>
      <c r="D27" s="5">
        <f t="shared" si="6"/>
        <v>3.71875</v>
      </c>
      <c r="E27" s="5">
        <f t="shared" si="2"/>
        <v>0.15677999132921183</v>
      </c>
      <c r="F27" s="5">
        <f t="shared" si="2"/>
        <v>-0.10208893280379527</v>
      </c>
      <c r="G27" s="5">
        <f t="shared" si="2"/>
        <v>2.8436804737782317E-2</v>
      </c>
    </row>
    <row r="28" spans="1:7" x14ac:dyDescent="0.25">
      <c r="A28" s="5">
        <f t="shared" si="3"/>
        <v>5</v>
      </c>
      <c r="B28" s="5">
        <f t="shared" si="4"/>
        <v>3.71875</v>
      </c>
      <c r="C28" s="5">
        <f t="shared" si="5"/>
        <v>3.75</v>
      </c>
      <c r="D28" s="5">
        <f t="shared" si="6"/>
        <v>3.734375</v>
      </c>
      <c r="E28" s="5">
        <f t="shared" si="2"/>
        <v>2.8436804737782317E-2</v>
      </c>
      <c r="F28" s="5">
        <f t="shared" si="2"/>
        <v>-0.10208893280379527</v>
      </c>
      <c r="G28" s="5">
        <f t="shared" si="2"/>
        <v>-3.6559165284978157E-2</v>
      </c>
    </row>
    <row r="29" spans="1:7" x14ac:dyDescent="0.25">
      <c r="A29" s="5">
        <f t="shared" si="3"/>
        <v>6</v>
      </c>
      <c r="B29" s="5">
        <f t="shared" si="4"/>
        <v>3.71875</v>
      </c>
      <c r="C29" s="5">
        <f t="shared" si="5"/>
        <v>3.734375</v>
      </c>
      <c r="D29" s="5">
        <f t="shared" si="6"/>
        <v>3.7265625</v>
      </c>
      <c r="E29" s="5">
        <f t="shared" si="2"/>
        <v>2.8436804737782317E-2</v>
      </c>
      <c r="F29" s="5">
        <f t="shared" si="2"/>
        <v>-3.6559165284978157E-2</v>
      </c>
      <c r="G29" s="5">
        <f t="shared" si="2"/>
        <v>-3.9937086888297557E-3</v>
      </c>
    </row>
    <row r="30" spans="1:7" x14ac:dyDescent="0.25">
      <c r="A30" s="5">
        <f t="shared" si="3"/>
        <v>7</v>
      </c>
      <c r="B30" s="5">
        <f t="shared" si="4"/>
        <v>3.71875</v>
      </c>
      <c r="C30" s="5">
        <f t="shared" si="5"/>
        <v>3.7265625</v>
      </c>
      <c r="D30" s="5">
        <f t="shared" si="6"/>
        <v>3.72265625</v>
      </c>
      <c r="E30" s="5">
        <f t="shared" si="2"/>
        <v>2.8436804737782317E-2</v>
      </c>
      <c r="F30" s="5">
        <f t="shared" si="2"/>
        <v>-3.9937086888297557E-3</v>
      </c>
      <c r="G30" s="5">
        <f t="shared" si="2"/>
        <v>1.2238508701804207E-2</v>
      </c>
    </row>
    <row r="31" spans="1:7" x14ac:dyDescent="0.25">
      <c r="A31" s="5">
        <f t="shared" si="3"/>
        <v>8</v>
      </c>
      <c r="B31" s="5">
        <f t="shared" si="4"/>
        <v>3.72265625</v>
      </c>
      <c r="C31" s="5">
        <f t="shared" si="5"/>
        <v>3.7265625</v>
      </c>
      <c r="D31" s="5">
        <f t="shared" si="6"/>
        <v>3.724609375</v>
      </c>
      <c r="E31" s="5">
        <f t="shared" si="2"/>
        <v>1.2238508701804207E-2</v>
      </c>
      <c r="F31" s="5">
        <f t="shared" si="2"/>
        <v>-3.9937086888297557E-3</v>
      </c>
      <c r="G31" s="5">
        <f t="shared" si="2"/>
        <v>4.1266286048040612E-3</v>
      </c>
    </row>
    <row r="32" spans="1:7" x14ac:dyDescent="0.25">
      <c r="A32" s="5">
        <f t="shared" si="3"/>
        <v>9</v>
      </c>
      <c r="B32" s="5">
        <f t="shared" si="4"/>
        <v>3.724609375</v>
      </c>
      <c r="C32" s="5">
        <f t="shared" si="5"/>
        <v>3.7265625</v>
      </c>
      <c r="D32" s="5">
        <f t="shared" si="6"/>
        <v>3.7255859375</v>
      </c>
      <c r="E32" s="5">
        <f t="shared" si="2"/>
        <v>4.1266286048040612E-3</v>
      </c>
      <c r="F32" s="5">
        <f t="shared" si="2"/>
        <v>-3.9937086888297557E-3</v>
      </c>
      <c r="G32" s="5">
        <f t="shared" si="2"/>
        <v>6.7515658837891124E-5</v>
      </c>
    </row>
    <row r="33" spans="1:7" x14ac:dyDescent="0.25">
      <c r="A33" s="5">
        <f t="shared" si="3"/>
        <v>10</v>
      </c>
      <c r="B33" s="5">
        <f t="shared" si="4"/>
        <v>3.7255859375</v>
      </c>
      <c r="C33" s="5">
        <f t="shared" si="5"/>
        <v>3.7265625</v>
      </c>
      <c r="D33" s="5">
        <f t="shared" si="6"/>
        <v>3.72607421875</v>
      </c>
      <c r="E33" s="5">
        <f t="shared" si="2"/>
        <v>6.7515658837891124E-5</v>
      </c>
      <c r="F33" s="5">
        <f t="shared" si="2"/>
        <v>-3.9937086888297557E-3</v>
      </c>
      <c r="G33" s="5">
        <f t="shared" si="2"/>
        <v>-1.9628327710181637E-3</v>
      </c>
    </row>
    <row r="34" spans="1:7" x14ac:dyDescent="0.25">
      <c r="A34" s="5">
        <f t="shared" si="3"/>
        <v>11</v>
      </c>
      <c r="B34" s="5">
        <f t="shared" si="4"/>
        <v>3.7255859375</v>
      </c>
      <c r="C34" s="5">
        <f t="shared" si="5"/>
        <v>3.72607421875</v>
      </c>
      <c r="D34" s="5">
        <f t="shared" si="6"/>
        <v>3.725830078125</v>
      </c>
      <c r="E34" s="5">
        <f t="shared" si="2"/>
        <v>6.7515658837891124E-5</v>
      </c>
      <c r="F34" s="5">
        <f t="shared" si="2"/>
        <v>-1.9628327710181637E-3</v>
      </c>
      <c r="G34" s="5">
        <f t="shared" si="2"/>
        <v>-9.47592597435154E-4</v>
      </c>
    </row>
    <row r="35" spans="1:7" x14ac:dyDescent="0.25">
      <c r="A35" s="5">
        <f t="shared" si="3"/>
        <v>12</v>
      </c>
      <c r="B35" s="5">
        <f t="shared" si="4"/>
        <v>3.7255859375</v>
      </c>
      <c r="C35" s="5">
        <f t="shared" si="5"/>
        <v>3.725830078125</v>
      </c>
      <c r="D35" s="5">
        <f t="shared" si="6"/>
        <v>3.7257080078125</v>
      </c>
      <c r="E35" s="5">
        <f t="shared" si="2"/>
        <v>6.7515658837891124E-5</v>
      </c>
      <c r="F35" s="5">
        <f t="shared" si="2"/>
        <v>-9.47592597435154E-4</v>
      </c>
      <c r="G35" s="5">
        <f t="shared" si="2"/>
        <v>-4.4002197680192978E-4</v>
      </c>
    </row>
    <row r="36" spans="1:7" x14ac:dyDescent="0.25">
      <c r="A36" s="5">
        <f t="shared" si="3"/>
        <v>13</v>
      </c>
      <c r="B36" s="5">
        <f t="shared" si="4"/>
        <v>3.7255859375</v>
      </c>
      <c r="C36" s="5">
        <f t="shared" si="5"/>
        <v>3.7257080078125</v>
      </c>
      <c r="D36" s="5">
        <f t="shared" si="6"/>
        <v>3.72564697265625</v>
      </c>
      <c r="E36" s="5">
        <f t="shared" si="2"/>
        <v>6.7515658837891124E-5</v>
      </c>
      <c r="F36" s="5">
        <f t="shared" si="2"/>
        <v>-4.4002197680192978E-4</v>
      </c>
      <c r="G36" s="5">
        <f t="shared" si="2"/>
        <v>-1.8624903550357175E-4</v>
      </c>
    </row>
    <row r="37" spans="1:7" x14ac:dyDescent="0.25">
      <c r="A37" s="5">
        <f t="shared" si="3"/>
        <v>14</v>
      </c>
      <c r="B37" s="5">
        <f t="shared" si="4"/>
        <v>3.7255859375</v>
      </c>
      <c r="C37" s="5">
        <f t="shared" si="5"/>
        <v>3.72564697265625</v>
      </c>
      <c r="D37" s="5">
        <f t="shared" si="6"/>
        <v>3.725616455078125</v>
      </c>
      <c r="E37" s="5">
        <f t="shared" si="2"/>
        <v>6.7515658837891124E-5</v>
      </c>
      <c r="F37" s="5">
        <f t="shared" si="2"/>
        <v>-1.8624903550357175E-4</v>
      </c>
      <c r="G37" s="5">
        <f t="shared" si="2"/>
        <v>-5.9365657417487228E-5</v>
      </c>
    </row>
    <row r="38" spans="1:7" x14ac:dyDescent="0.25">
      <c r="A38" s="10">
        <f t="shared" si="3"/>
        <v>15</v>
      </c>
      <c r="B38" s="10">
        <f t="shared" si="4"/>
        <v>3.7255859375</v>
      </c>
      <c r="C38" s="10">
        <f t="shared" si="5"/>
        <v>3.725616455078125</v>
      </c>
      <c r="D38" s="10">
        <f t="shared" si="6"/>
        <v>3.7256011962890625</v>
      </c>
      <c r="E38" s="10">
        <f t="shared" si="2"/>
        <v>6.7515658837891124E-5</v>
      </c>
      <c r="F38" s="10">
        <f t="shared" si="2"/>
        <v>-5.9365657417487228E-5</v>
      </c>
      <c r="G38" s="10">
        <f t="shared" si="2"/>
        <v>4.0752584435921335E-6</v>
      </c>
    </row>
    <row r="41" spans="1:7" x14ac:dyDescent="0.25">
      <c r="A41" s="3" t="s">
        <v>86</v>
      </c>
    </row>
    <row r="42" spans="1:7" x14ac:dyDescent="0.25">
      <c r="A42" s="2" t="s">
        <v>87</v>
      </c>
      <c r="B42" s="2"/>
      <c r="C42" s="2"/>
      <c r="D42" s="2"/>
      <c r="E42" s="2"/>
      <c r="F42" s="2"/>
      <c r="G42" s="2"/>
    </row>
  </sheetData>
  <mergeCells count="5">
    <mergeCell ref="A1:G1"/>
    <mergeCell ref="B3:G3"/>
    <mergeCell ref="B5:E5"/>
    <mergeCell ref="D13:G13"/>
    <mergeCell ref="A42:G4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6EA7-4DCA-4118-9498-53FC6E669114}">
  <dimension ref="A1:F34"/>
  <sheetViews>
    <sheetView topLeftCell="A4" workbookViewId="0">
      <selection activeCell="C22" sqref="C22"/>
    </sheetView>
  </sheetViews>
  <sheetFormatPr baseColWidth="10" defaultColWidth="9.140625" defaultRowHeight="15" x14ac:dyDescent="0.25"/>
  <cols>
    <col min="1" max="6" width="16" customWidth="1"/>
  </cols>
  <sheetData>
    <row r="1" spans="1:6" ht="18.75" x14ac:dyDescent="0.3">
      <c r="A1" s="1" t="s">
        <v>34</v>
      </c>
      <c r="B1" s="2"/>
      <c r="C1" s="2"/>
      <c r="D1" s="2"/>
      <c r="E1" s="2"/>
      <c r="F1" s="2"/>
    </row>
    <row r="3" spans="1:6" x14ac:dyDescent="0.25">
      <c r="A3" s="3" t="s">
        <v>79</v>
      </c>
      <c r="B3" s="2" t="s">
        <v>80</v>
      </c>
      <c r="C3" s="2"/>
      <c r="D3" s="2"/>
      <c r="E3" s="2"/>
      <c r="F3" s="2"/>
    </row>
    <row r="5" spans="1:6" x14ac:dyDescent="0.25">
      <c r="A5" s="3" t="s">
        <v>33</v>
      </c>
      <c r="B5" s="2" t="s">
        <v>81</v>
      </c>
      <c r="C5" s="2"/>
      <c r="D5" s="2"/>
      <c r="E5" s="2"/>
      <c r="F5" s="2"/>
    </row>
    <row r="6" spans="1:6" x14ac:dyDescent="0.25">
      <c r="A6" s="3" t="s">
        <v>31</v>
      </c>
      <c r="B6" s="2" t="s">
        <v>88</v>
      </c>
      <c r="C6" s="2"/>
      <c r="D6" s="2"/>
      <c r="E6" s="2"/>
      <c r="F6" s="2"/>
    </row>
    <row r="8" spans="1:6" x14ac:dyDescent="0.25">
      <c r="D8" s="18" t="s">
        <v>89</v>
      </c>
      <c r="E8" s="6" t="s">
        <v>32</v>
      </c>
    </row>
    <row r="12" spans="1:6" x14ac:dyDescent="0.25">
      <c r="A12" s="4" t="s">
        <v>16</v>
      </c>
      <c r="B12" s="4" t="s">
        <v>26</v>
      </c>
      <c r="C12" s="4" t="s">
        <v>25</v>
      </c>
      <c r="D12" s="4" t="s">
        <v>24</v>
      </c>
      <c r="E12" s="4" t="s">
        <v>50</v>
      </c>
    </row>
    <row r="13" spans="1:6" x14ac:dyDescent="0.25">
      <c r="A13" s="5">
        <f>0</f>
        <v>0</v>
      </c>
      <c r="B13" s="5">
        <f>3.5</f>
        <v>3.5</v>
      </c>
      <c r="C13" s="5">
        <f>COS(B13)^2-0.5*B13*EXP(0.3*B13)+5</f>
        <v>0.87606167056111595</v>
      </c>
      <c r="D13" s="5">
        <f>-SIN(2*B13)-EXP(0.3*B13)*(0.5+0.15*B13)</f>
        <v>-3.5860789947335316</v>
      </c>
      <c r="E13" s="5" t="s">
        <v>90</v>
      </c>
    </row>
    <row r="14" spans="1:6" x14ac:dyDescent="0.25">
      <c r="A14" s="5">
        <f>A13+1</f>
        <v>1</v>
      </c>
      <c r="B14" s="5">
        <f>B13-C13/D13</f>
        <v>3.7442951401370936</v>
      </c>
      <c r="C14" s="5">
        <f>COS(B14)^2-0.5*B14*EXP(0.3*B14)+5</f>
        <v>-7.8102181147251315E-2</v>
      </c>
      <c r="D14" s="5">
        <f>-SIN(2*B14)-EXP(0.3*B14)*(0.5+0.15*B14)</f>
        <v>-4.1984867244486175</v>
      </c>
    </row>
    <row r="15" spans="1:6" x14ac:dyDescent="0.25">
      <c r="A15" s="5">
        <f t="shared" ref="A15:A16" si="0">A14+1</f>
        <v>2</v>
      </c>
      <c r="B15" s="5">
        <f t="shared" ref="B15:B16" si="1">B14-C14/D14</f>
        <v>3.7256926801858814</v>
      </c>
      <c r="C15" s="5">
        <f t="shared" ref="C15:C16" si="2">COS(B15)^2-0.5*B15*EXP(0.3*B15)+5</f>
        <v>-3.7629175216125077E-4</v>
      </c>
      <c r="D15" s="5">
        <f t="shared" ref="D15:D16" si="3">-SIN(2*B15)-EXP(0.3*B15)*(0.5+0.15*B15)</f>
        <v>-4.1578494960558432</v>
      </c>
    </row>
    <row r="16" spans="1:6" x14ac:dyDescent="0.25">
      <c r="A16" s="19">
        <f t="shared" si="0"/>
        <v>3</v>
      </c>
      <c r="B16" s="19">
        <f t="shared" si="1"/>
        <v>3.7256021786531734</v>
      </c>
      <c r="C16" s="19">
        <f t="shared" si="2"/>
        <v>-9.0657943374594652E-9</v>
      </c>
      <c r="D16" s="19">
        <f t="shared" si="3"/>
        <v>-4.1576491461214049</v>
      </c>
    </row>
    <row r="18" spans="1:2" x14ac:dyDescent="0.25">
      <c r="A18" s="20" t="s">
        <v>6</v>
      </c>
      <c r="B18" s="20" t="s">
        <v>7</v>
      </c>
    </row>
    <row r="19" spans="1:2" x14ac:dyDescent="0.25">
      <c r="A19" s="14">
        <v>0</v>
      </c>
      <c r="B19" s="14">
        <f>COS(A19)^2-0.5*A19*EXP(0.3*A19)+5</f>
        <v>6</v>
      </c>
    </row>
    <row r="20" spans="1:2" x14ac:dyDescent="0.25">
      <c r="A20" s="14">
        <v>1</v>
      </c>
      <c r="B20" s="14">
        <f t="shared" ref="B20:B25" si="4">COS(A20)^2-0.5*A20*EXP(0.3*A20)+5</f>
        <v>4.6169971779384271</v>
      </c>
    </row>
    <row r="21" spans="1:2" x14ac:dyDescent="0.25">
      <c r="A21" s="14">
        <v>2</v>
      </c>
      <c r="B21" s="14">
        <f t="shared" si="4"/>
        <v>3.351059389177685</v>
      </c>
    </row>
    <row r="22" spans="1:2" x14ac:dyDescent="0.25">
      <c r="A22" s="14">
        <v>3</v>
      </c>
      <c r="B22" s="14">
        <f t="shared" si="4"/>
        <v>2.2906804765897588</v>
      </c>
    </row>
    <row r="23" spans="1:2" x14ac:dyDescent="0.25">
      <c r="A23" s="14">
        <v>4</v>
      </c>
      <c r="B23" s="14">
        <f t="shared" si="4"/>
        <v>-1.212983862377401</v>
      </c>
    </row>
    <row r="24" spans="1:2" x14ac:dyDescent="0.25">
      <c r="A24" s="14">
        <v>5</v>
      </c>
      <c r="B24" s="14">
        <f t="shared" si="4"/>
        <v>-6.1237584403833871</v>
      </c>
    </row>
    <row r="25" spans="1:2" x14ac:dyDescent="0.25">
      <c r="A25" s="14">
        <v>6</v>
      </c>
      <c r="B25" s="14">
        <f t="shared" si="4"/>
        <v>-12.227015413872586</v>
      </c>
    </row>
    <row r="33" spans="1:6" x14ac:dyDescent="0.25">
      <c r="A33" s="3" t="s">
        <v>91</v>
      </c>
    </row>
    <row r="34" spans="1:6" x14ac:dyDescent="0.25">
      <c r="A34" s="2" t="s">
        <v>92</v>
      </c>
      <c r="B34" s="2"/>
      <c r="C34" s="2"/>
      <c r="D34" s="2"/>
      <c r="E34" s="2"/>
      <c r="F34" s="2"/>
    </row>
  </sheetData>
  <mergeCells count="5">
    <mergeCell ref="A1:F1"/>
    <mergeCell ref="B3:F3"/>
    <mergeCell ref="B5:F5"/>
    <mergeCell ref="B6:F6"/>
    <mergeCell ref="A34:F34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E31A-BC75-45DE-BC08-B14CBB7B714C}">
  <dimension ref="A1:F31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6" width="16" customWidth="1"/>
  </cols>
  <sheetData>
    <row r="1" spans="1:6" ht="18.75" x14ac:dyDescent="0.3">
      <c r="A1" s="1" t="s">
        <v>35</v>
      </c>
      <c r="B1" s="2"/>
      <c r="C1" s="2"/>
      <c r="D1" s="2"/>
      <c r="E1" s="2"/>
      <c r="F1" s="2"/>
    </row>
    <row r="3" spans="1:6" x14ac:dyDescent="0.25">
      <c r="A3" s="3" t="s">
        <v>79</v>
      </c>
      <c r="B3" s="2" t="s">
        <v>80</v>
      </c>
      <c r="C3" s="2"/>
      <c r="D3" s="2"/>
      <c r="E3" s="2"/>
      <c r="F3" s="2"/>
    </row>
    <row r="5" spans="1:6" x14ac:dyDescent="0.25">
      <c r="A5" s="3" t="s">
        <v>57</v>
      </c>
      <c r="B5" s="2" t="s">
        <v>81</v>
      </c>
      <c r="C5" s="2"/>
      <c r="D5" s="2"/>
      <c r="E5" s="2"/>
      <c r="F5" s="2"/>
    </row>
    <row r="8" spans="1:6" x14ac:dyDescent="0.25">
      <c r="A8" s="21" t="s">
        <v>5</v>
      </c>
      <c r="B8" s="2"/>
      <c r="C8" s="2"/>
    </row>
    <row r="10" spans="1:6" x14ac:dyDescent="0.25">
      <c r="A10" s="4" t="s">
        <v>6</v>
      </c>
      <c r="B10" s="4" t="s">
        <v>7</v>
      </c>
    </row>
    <row r="11" spans="1:6" x14ac:dyDescent="0.25">
      <c r="A11" s="5">
        <f>0</f>
        <v>0</v>
      </c>
      <c r="B11" s="5">
        <f>COS(A11)^2-0.5*A11*EXP(0.3*A11)+5</f>
        <v>6</v>
      </c>
      <c r="D11" s="17" t="s">
        <v>93</v>
      </c>
      <c r="E11" s="2"/>
      <c r="F11" s="2"/>
    </row>
    <row r="12" spans="1:6" x14ac:dyDescent="0.25">
      <c r="A12" s="5">
        <f>A11+1</f>
        <v>1</v>
      </c>
      <c r="B12" s="5">
        <f t="shared" ref="B12:B17" si="0">COS(A12)^2-0.5*A12*EXP(0.3*A12)+5</f>
        <v>4.6169971779384271</v>
      </c>
    </row>
    <row r="13" spans="1:6" x14ac:dyDescent="0.25">
      <c r="A13" s="5">
        <f t="shared" ref="A13:A17" si="1">A12+1</f>
        <v>2</v>
      </c>
      <c r="B13" s="5">
        <f t="shared" si="0"/>
        <v>3.351059389177685</v>
      </c>
      <c r="D13" t="s">
        <v>94</v>
      </c>
      <c r="E13" s="6" t="s">
        <v>32</v>
      </c>
    </row>
    <row r="14" spans="1:6" x14ac:dyDescent="0.25">
      <c r="A14" s="5">
        <f t="shared" si="1"/>
        <v>3</v>
      </c>
      <c r="B14" s="5">
        <f t="shared" si="0"/>
        <v>2.2906804765897588</v>
      </c>
      <c r="D14" t="s">
        <v>12</v>
      </c>
      <c r="E14" s="6" t="s">
        <v>37</v>
      </c>
    </row>
    <row r="15" spans="1:6" x14ac:dyDescent="0.25">
      <c r="A15" s="5">
        <f t="shared" si="1"/>
        <v>4</v>
      </c>
      <c r="B15" s="5">
        <f t="shared" si="0"/>
        <v>-1.212983862377401</v>
      </c>
    </row>
    <row r="16" spans="1:6" x14ac:dyDescent="0.25">
      <c r="A16" s="5">
        <f t="shared" si="1"/>
        <v>5</v>
      </c>
      <c r="B16" s="5">
        <f t="shared" si="0"/>
        <v>-6.1237584403833871</v>
      </c>
    </row>
    <row r="17" spans="1:6" x14ac:dyDescent="0.25">
      <c r="A17" s="5">
        <f t="shared" si="1"/>
        <v>6</v>
      </c>
      <c r="B17" s="5">
        <f t="shared" si="0"/>
        <v>-12.227015413872586</v>
      </c>
    </row>
    <row r="20" spans="1:6" x14ac:dyDescent="0.25">
      <c r="A20" s="3" t="s">
        <v>95</v>
      </c>
    </row>
    <row r="22" spans="1:6" x14ac:dyDescent="0.25">
      <c r="A22" s="4" t="s">
        <v>16</v>
      </c>
      <c r="B22" s="4" t="s">
        <v>26</v>
      </c>
      <c r="C22" s="4" t="s">
        <v>25</v>
      </c>
    </row>
    <row r="23" spans="1:6" x14ac:dyDescent="0.25">
      <c r="A23" s="5">
        <f>0</f>
        <v>0</v>
      </c>
      <c r="B23" s="5">
        <f>3</f>
        <v>3</v>
      </c>
      <c r="C23" s="5">
        <f>COS(B23)^2-0.5*B23*EXP(0.3*B23)+5</f>
        <v>2.2906804765897588</v>
      </c>
    </row>
    <row r="24" spans="1:6" x14ac:dyDescent="0.25">
      <c r="A24" s="5">
        <f>1</f>
        <v>1</v>
      </c>
      <c r="B24" s="5">
        <f>4</f>
        <v>4</v>
      </c>
      <c r="C24" s="5">
        <f>COS(B24)^2-0.5*B24*EXP(0.3*B24)+5</f>
        <v>-1.212983862377401</v>
      </c>
    </row>
    <row r="25" spans="1:6" x14ac:dyDescent="0.25">
      <c r="A25" s="5">
        <f>A24+1</f>
        <v>2</v>
      </c>
      <c r="B25" s="5">
        <f>B24-C24*(B23-B24)/(C23-C24)</f>
        <v>3.6537956422118407</v>
      </c>
      <c r="C25" s="5">
        <f>COS(B25)^2-0.5*B25*EXP(0.3*B25)+5</f>
        <v>0.29265006210311029</v>
      </c>
    </row>
    <row r="26" spans="1:6" x14ac:dyDescent="0.25">
      <c r="A26" s="5">
        <f t="shared" ref="A26:A28" si="2">A25+1</f>
        <v>3</v>
      </c>
      <c r="B26" s="5">
        <f t="shared" ref="B26:B28" si="3">B25-C25*(B24-B25)/(C24-C25)</f>
        <v>3.7210873823617776</v>
      </c>
      <c r="C26" s="5">
        <f t="shared" ref="C26:C28" si="4">COS(B26)^2-0.5*B26*EXP(0.3*B26)+5</f>
        <v>1.8748318639778994E-2</v>
      </c>
    </row>
    <row r="27" spans="1:6" x14ac:dyDescent="0.25">
      <c r="A27" s="5">
        <f t="shared" si="2"/>
        <v>4</v>
      </c>
      <c r="B27" s="5">
        <f t="shared" si="3"/>
        <v>3.7256934391550054</v>
      </c>
      <c r="C27" s="5">
        <f t="shared" si="4"/>
        <v>-3.794474321878738E-4</v>
      </c>
    </row>
    <row r="28" spans="1:6" x14ac:dyDescent="0.25">
      <c r="A28" s="10">
        <f t="shared" si="2"/>
        <v>5</v>
      </c>
      <c r="B28" s="10">
        <f t="shared" si="3"/>
        <v>3.7256020664136131</v>
      </c>
      <c r="C28" s="10">
        <f t="shared" si="4"/>
        <v>4.5758690347952324E-7</v>
      </c>
    </row>
    <row r="30" spans="1:6" x14ac:dyDescent="0.25">
      <c r="A30" s="3" t="s">
        <v>38</v>
      </c>
    </row>
    <row r="31" spans="1:6" x14ac:dyDescent="0.25">
      <c r="A31" s="2" t="s">
        <v>96</v>
      </c>
      <c r="B31" s="2"/>
      <c r="C31" s="2"/>
      <c r="D31" s="2"/>
      <c r="E31" s="2"/>
      <c r="F31" s="2"/>
    </row>
  </sheetData>
  <mergeCells count="6">
    <mergeCell ref="A1:F1"/>
    <mergeCell ref="B3:F3"/>
    <mergeCell ref="B5:F5"/>
    <mergeCell ref="A8:C8"/>
    <mergeCell ref="D11:F11"/>
    <mergeCell ref="A31:F3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Biseccion_Ej1</vt:lpstr>
      <vt:lpstr>Newton_Ej1</vt:lpstr>
      <vt:lpstr>Secante_Ej1</vt:lpstr>
      <vt:lpstr>Biseccion_Ej2</vt:lpstr>
      <vt:lpstr>Newton_Ej2</vt:lpstr>
      <vt:lpstr>Secante_Ej2</vt:lpstr>
      <vt:lpstr>Biseccion_Ej3</vt:lpstr>
      <vt:lpstr>Newton_Ej3</vt:lpstr>
      <vt:lpstr>Secante_Ej3</vt:lpstr>
      <vt:lpstr>Biseccion_Ej4</vt:lpstr>
      <vt:lpstr>Newton_Ej4</vt:lpstr>
      <vt:lpstr>Secante_Ej4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Genesis Jalid Tapia Cortez</cp:lastModifiedBy>
  <dcterms:created xsi:type="dcterms:W3CDTF">2015-06-05T18:19:34Z</dcterms:created>
  <dcterms:modified xsi:type="dcterms:W3CDTF">2025-12-01T01:28:09Z</dcterms:modified>
</cp:coreProperties>
</file>