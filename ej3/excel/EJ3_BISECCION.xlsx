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COMPU\Desktop\U\METODOS NUMERICOS\PROYECTO RAICES\"/>
    </mc:Choice>
  </mc:AlternateContent>
  <xr:revisionPtr revIDLastSave="0" documentId="8_{C823F481-8EBA-4DE3-BAE4-9C316A92E9EA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Biseccion_Ej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0" i="1" l="1"/>
  <c r="B50" i="1"/>
  <c r="D50" i="1" s="1"/>
  <c r="G50" i="1" s="1"/>
  <c r="C50" i="1"/>
  <c r="F50" i="1"/>
  <c r="A51" i="1"/>
  <c r="A52" i="1"/>
  <c r="A53" i="1"/>
  <c r="A54" i="1" s="1"/>
  <c r="A55" i="1" s="1"/>
  <c r="A56" i="1" s="1"/>
  <c r="G49" i="1"/>
  <c r="F49" i="1"/>
  <c r="E49" i="1"/>
  <c r="D49" i="1"/>
  <c r="C49" i="1"/>
  <c r="B49" i="1"/>
  <c r="A49" i="1"/>
  <c r="G48" i="1"/>
  <c r="F48" i="1"/>
  <c r="E48" i="1"/>
  <c r="D48" i="1"/>
  <c r="C48" i="1"/>
  <c r="B48" i="1"/>
  <c r="A48" i="1"/>
  <c r="A39" i="1"/>
  <c r="B39" i="1"/>
  <c r="D39" i="1" s="1"/>
  <c r="G39" i="1" s="1"/>
  <c r="C39" i="1"/>
  <c r="F39" i="1"/>
  <c r="A40" i="1"/>
  <c r="A41" i="1"/>
  <c r="A42" i="1" s="1"/>
  <c r="A43" i="1" s="1"/>
  <c r="G38" i="1"/>
  <c r="F38" i="1"/>
  <c r="E38" i="1"/>
  <c r="D38" i="1"/>
  <c r="C38" i="1"/>
  <c r="B38" i="1"/>
  <c r="A38" i="1"/>
  <c r="G37" i="1"/>
  <c r="F37" i="1"/>
  <c r="E37" i="1"/>
  <c r="D37" i="1"/>
  <c r="C37" i="1"/>
  <c r="B37" i="1"/>
  <c r="A37" i="1"/>
  <c r="A30" i="1"/>
  <c r="B30" i="1"/>
  <c r="E30" i="1" s="1"/>
  <c r="C30" i="1"/>
  <c r="D30" i="1" s="1"/>
  <c r="G30" i="1" s="1"/>
  <c r="A31" i="1"/>
  <c r="A32" i="1"/>
  <c r="G29" i="1"/>
  <c r="F29" i="1"/>
  <c r="E29" i="1"/>
  <c r="D29" i="1"/>
  <c r="C29" i="1"/>
  <c r="B29" i="1"/>
  <c r="A29" i="1"/>
  <c r="G28" i="1"/>
  <c r="F28" i="1"/>
  <c r="E28" i="1"/>
  <c r="D28" i="1"/>
  <c r="B14" i="1"/>
  <c r="B15" i="1"/>
  <c r="B16" i="1"/>
  <c r="B17" i="1"/>
  <c r="B18" i="1"/>
  <c r="B19" i="1"/>
  <c r="B20" i="1"/>
  <c r="B21" i="1"/>
  <c r="B22" i="1"/>
  <c r="B23" i="1"/>
  <c r="A15" i="1"/>
  <c r="A16" i="1"/>
  <c r="A17" i="1" s="1"/>
  <c r="A18" i="1" s="1"/>
  <c r="A19" i="1" s="1"/>
  <c r="A20" i="1" s="1"/>
  <c r="A21" i="1" s="1"/>
  <c r="A22" i="1" s="1"/>
  <c r="A23" i="1" s="1"/>
  <c r="C28" i="1"/>
  <c r="B28" i="1"/>
  <c r="A28" i="1"/>
  <c r="B13" i="1"/>
  <c r="A14" i="1"/>
  <c r="A13" i="1"/>
  <c r="E50" i="1" l="1"/>
  <c r="E39" i="1"/>
  <c r="B31" i="1"/>
  <c r="C31" i="1"/>
  <c r="F31" i="1" s="1"/>
  <c r="F30" i="1"/>
  <c r="B51" i="1" l="1"/>
  <c r="C51" i="1"/>
  <c r="F51" i="1" s="1"/>
  <c r="B40" i="1"/>
  <c r="C40" i="1"/>
  <c r="F40" i="1" s="1"/>
  <c r="D31" i="1"/>
  <c r="G31" i="1" s="1"/>
  <c r="E31" i="1"/>
  <c r="D51" i="1" l="1"/>
  <c r="G51" i="1" s="1"/>
  <c r="E51" i="1"/>
  <c r="E40" i="1"/>
  <c r="D40" i="1"/>
  <c r="G40" i="1" s="1"/>
  <c r="C32" i="1"/>
  <c r="F32" i="1" s="1"/>
  <c r="B32" i="1"/>
  <c r="C52" i="1" l="1"/>
  <c r="F52" i="1" s="1"/>
  <c r="B52" i="1"/>
  <c r="C41" i="1"/>
  <c r="F41" i="1" s="1"/>
  <c r="B41" i="1"/>
  <c r="E32" i="1"/>
  <c r="D32" i="1"/>
  <c r="G32" i="1" s="1"/>
  <c r="E52" i="1" l="1"/>
  <c r="D52" i="1"/>
  <c r="G52" i="1" s="1"/>
  <c r="E41" i="1"/>
  <c r="D41" i="1"/>
  <c r="G41" i="1" s="1"/>
  <c r="C53" i="1" l="1"/>
  <c r="F53" i="1" s="1"/>
  <c r="B53" i="1"/>
  <c r="B42" i="1"/>
  <c r="C42" i="1"/>
  <c r="F42" i="1" s="1"/>
  <c r="D53" i="1" l="1"/>
  <c r="G53" i="1" s="1"/>
  <c r="E53" i="1"/>
  <c r="D42" i="1"/>
  <c r="G42" i="1" s="1"/>
  <c r="E42" i="1"/>
  <c r="C54" i="1" l="1"/>
  <c r="F54" i="1" s="1"/>
  <c r="B54" i="1"/>
  <c r="B43" i="1"/>
  <c r="C43" i="1"/>
  <c r="F43" i="1" s="1"/>
  <c r="D54" i="1" l="1"/>
  <c r="G54" i="1" s="1"/>
  <c r="E54" i="1"/>
  <c r="D43" i="1"/>
  <c r="G43" i="1" s="1"/>
  <c r="E43" i="1"/>
  <c r="C55" i="1" l="1"/>
  <c r="F55" i="1" s="1"/>
  <c r="B55" i="1"/>
  <c r="D55" i="1" l="1"/>
  <c r="G55" i="1" s="1"/>
  <c r="E55" i="1"/>
  <c r="B56" i="1" l="1"/>
  <c r="C56" i="1"/>
  <c r="F56" i="1" s="1"/>
  <c r="D56" i="1" l="1"/>
  <c r="G56" i="1" s="1"/>
  <c r="E56" i="1"/>
</calcChain>
</file>

<file path=xl/sharedStrings.xml><?xml version="1.0" encoding="utf-8"?>
<sst xmlns="http://schemas.openxmlformats.org/spreadsheetml/2006/main" count="37" uniqueCount="23">
  <si>
    <t>RAICES → BISECCION</t>
  </si>
  <si>
    <t>Ejercicio 3:</t>
  </si>
  <si>
    <t>Determinar las tres raíces de la ecuación x^3 − x^2·e^{−0,5x} − 3x = −1.</t>
  </si>
  <si>
    <t>Función para el método:</t>
  </si>
  <si>
    <t>f(x) = x^3 − x^2·e^{−0,5x} − 3x + 1</t>
  </si>
  <si>
    <t>tol = 0.005</t>
  </si>
  <si>
    <t>Condición: |f(m)| ≤ tol</t>
  </si>
  <si>
    <t>Regla del método de bisección:</t>
  </si>
  <si>
    <t>Si f(a)*f(m) &lt; 0  →  b = m_anterior</t>
  </si>
  <si>
    <t>Si f(b)*f(m) &lt; 0  →  a = m_anterior</t>
  </si>
  <si>
    <t>x</t>
  </si>
  <si>
    <t>f(x)</t>
  </si>
  <si>
    <t>Los cambios de signo ayudan a elegir los intervalos de las raíces.</t>
  </si>
  <si>
    <t>Raíz 1 (intervalo -1,5 a -1)</t>
  </si>
  <si>
    <t>#</t>
  </si>
  <si>
    <t>a</t>
  </si>
  <si>
    <t>b</t>
  </si>
  <si>
    <t>m</t>
  </si>
  <si>
    <t>f(a)</t>
  </si>
  <si>
    <t>f(b)</t>
  </si>
  <si>
    <t>f(m)</t>
  </si>
  <si>
    <t>Raíz 2 (intervalo 0 a 0,5)</t>
  </si>
  <si>
    <t>Raíz 3 (intervalo 1,5 a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</si>
</sst>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FFD966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2" borderId="1" xfId="0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0" fillId="0" borderId="0" xfId="0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Gráfica de la función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Biseccion_Ej3!$B$12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Biseccion_Ej3!$A$13:$A$23</c:f>
              <c:numCache>
                <c:formatCode>General</c:formatCode>
                <c:ptCount val="11"/>
                <c:pt idx="0">
                  <c:v>-2</c:v>
                </c:pt>
                <c:pt idx="1">
                  <c:v>-1.5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</c:numCache>
            </c:numRef>
          </c:xVal>
          <c:yVal>
            <c:numRef>
              <c:f>Biseccion_Ej3!$B$13:$B$23</c:f>
              <c:numCache>
                <c:formatCode>General</c:formatCode>
                <c:ptCount val="11"/>
                <c:pt idx="0">
                  <c:v>-11.873127313836179</c:v>
                </c:pt>
                <c:pt idx="1">
                  <c:v>-2.6382500373785192</c:v>
                </c:pt>
                <c:pt idx="2">
                  <c:v>1.3512787292998718</c:v>
                </c:pt>
                <c:pt idx="3">
                  <c:v>2.0539936458280645</c:v>
                </c:pt>
                <c:pt idx="4">
                  <c:v>1</c:v>
                </c:pt>
                <c:pt idx="5">
                  <c:v>-0.56970019576785114</c:v>
                </c:pt>
                <c:pt idx="6">
                  <c:v>-1.6065306597126332</c:v>
                </c:pt>
                <c:pt idx="7">
                  <c:v>-1.1878247436672833</c:v>
                </c:pt>
                <c:pt idx="8">
                  <c:v>1.5284822353142307</c:v>
                </c:pt>
                <c:pt idx="9">
                  <c:v>7.3343450196238127</c:v>
                </c:pt>
                <c:pt idx="10">
                  <c:v>16.991828558664132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CC-4490-A211-A91B9A252636}"/>
            </c:ext>
          </c:extLst>
        </c:ser>
        <c:ser>
          <c:idx val="1"/>
          <c:order val="1"/>
          <c:tx>
            <c:v>raiz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Biseccion_Ej3!$D$32</c:f>
              <c:numCache>
                <c:formatCode>General</c:formatCode>
                <c:ptCount val="1"/>
                <c:pt idx="0">
                  <c:v>-1.234375</c:v>
                </c:pt>
              </c:numCache>
            </c:numRef>
          </c:xVal>
          <c:yVal>
            <c:numRef>
              <c:f>Biseccion_Ej3!$G$32</c:f>
              <c:numCache>
                <c:formatCode>General</c:formatCode>
                <c:ptCount val="1"/>
                <c:pt idx="0">
                  <c:v>-2.1290798148916323E-3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CC-4490-A211-A91B9A252636}"/>
            </c:ext>
          </c:extLst>
        </c:ser>
        <c:ser>
          <c:idx val="2"/>
          <c:order val="2"/>
          <c:tx>
            <c:v>raiz 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Biseccion_Ej3!$D$43</c:f>
              <c:numCache>
                <c:formatCode>General</c:formatCode>
                <c:ptCount val="1"/>
                <c:pt idx="0">
                  <c:v>0.31640625</c:v>
                </c:pt>
              </c:numCache>
            </c:numRef>
          </c:xVal>
          <c:yVal>
            <c:numRef>
              <c:f>Biseccion_Ej3!$G$43</c:f>
              <c:numCache>
                <c:formatCode>General</c:formatCode>
                <c:ptCount val="1"/>
                <c:pt idx="0">
                  <c:v>-3.006427010124435E-3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CC-4490-A211-A91B9A252636}"/>
            </c:ext>
          </c:extLst>
        </c:ser>
        <c:ser>
          <c:idx val="3"/>
          <c:order val="3"/>
          <c:tx>
            <c:v>raiz 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Biseccion_Ej3!$D$56</c:f>
              <c:numCache>
                <c:formatCode>General</c:formatCode>
                <c:ptCount val="1"/>
                <c:pt idx="0">
                  <c:v>1.7802734375</c:v>
                </c:pt>
              </c:numCache>
            </c:numRef>
          </c:xVal>
          <c:yVal>
            <c:numRef>
              <c:f>Biseccion_Ej3!$G$56</c:f>
              <c:numCache>
                <c:formatCode>General</c:formatCode>
                <c:ptCount val="1"/>
                <c:pt idx="0">
                  <c:v>1.8762969750696357E-4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DCC-4490-A211-A91B9A252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146127"/>
        <c:axId val="1028415519"/>
      </c:scatterChart>
      <c:valAx>
        <c:axId val="88814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28415519"/>
        <c:crosses val="autoZero"/>
        <c:crossBetween val="midCat"/>
      </c:valAx>
      <c:valAx>
        <c:axId val="102841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f(x)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88146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666750</xdr:colOff>
      <xdr:row>9</xdr:row>
      <xdr:rowOff>52387</xdr:rowOff>
    </xdr:from>
    <xdr:to>
      <xdr:col>7</xdr:col>
      <xdr:colOff>571500</xdr:colOff>
      <xdr:row>23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1A092B-AEB3-4D0E-034C-B76EA031F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topLeftCell="A25" workbookViewId="0">
      <selection activeCell="J18" sqref="J18"/>
    </sheetView>
  </sheetViews>
  <sheetFormatPr baseColWidth="10" defaultColWidth="9.140625" defaultRowHeight="15" x14ac:dyDescent="0.25"/>
  <cols>
    <col min="1" max="8" width="14" customWidth="1"/>
  </cols>
  <sheetData>
    <row r="1" spans="1:8" ht="18.75" x14ac:dyDescent="0.3">
      <c r="A1" s="5" t="s">
        <v>0</v>
      </c>
      <c r="B1" s="6"/>
      <c r="C1" s="6"/>
      <c r="D1" s="6"/>
      <c r="E1" s="6"/>
      <c r="F1" s="6"/>
      <c r="G1" s="6"/>
      <c r="H1" s="6"/>
    </row>
    <row r="3" spans="1:8" x14ac:dyDescent="0.25">
      <c r="A3" s="1" t="s">
        <v>1</v>
      </c>
      <c r="B3" s="6" t="s">
        <v>2</v>
      </c>
      <c r="C3" s="6"/>
      <c r="D3" s="6"/>
      <c r="E3" s="6"/>
      <c r="F3" s="6"/>
      <c r="G3" s="6"/>
      <c r="H3" s="6"/>
    </row>
    <row r="5" spans="1:8" x14ac:dyDescent="0.25">
      <c r="A5" s="1" t="s">
        <v>3</v>
      </c>
      <c r="B5" s="6" t="s">
        <v>4</v>
      </c>
      <c r="C5" s="6"/>
      <c r="D5" s="6"/>
      <c r="E5" s="6"/>
      <c r="F5" s="2" t="s">
        <v>5</v>
      </c>
    </row>
    <row r="6" spans="1:8" x14ac:dyDescent="0.25">
      <c r="F6" s="2" t="s">
        <v>6</v>
      </c>
    </row>
    <row r="7" spans="1:8" x14ac:dyDescent="0.25">
      <c r="A7" s="1" t="s">
        <v>7</v>
      </c>
    </row>
    <row r="8" spans="1:8" x14ac:dyDescent="0.25">
      <c r="A8" t="s">
        <v>8</v>
      </c>
    </row>
    <row r="9" spans="1:8" x14ac:dyDescent="0.25">
      <c r="A9" t="s">
        <v>9</v>
      </c>
    </row>
    <row r="12" spans="1:8" x14ac:dyDescent="0.25">
      <c r="A12" s="3" t="s">
        <v>10</v>
      </c>
      <c r="B12" s="3" t="s">
        <v>11</v>
      </c>
    </row>
    <row r="13" spans="1:8" x14ac:dyDescent="0.25">
      <c r="A13" s="4">
        <f>-2</f>
        <v>-2</v>
      </c>
      <c r="B13" s="4">
        <f>A13^3-A13^2*EXP(-0.5*A13)-3*A13+1</f>
        <v>-11.873127313836179</v>
      </c>
      <c r="D13" s="6" t="s">
        <v>12</v>
      </c>
      <c r="E13" s="6"/>
      <c r="F13" s="6"/>
      <c r="G13" s="6"/>
      <c r="H13" s="6"/>
    </row>
    <row r="14" spans="1:8" x14ac:dyDescent="0.25">
      <c r="A14" s="4">
        <f>A13+0.5</f>
        <v>-1.5</v>
      </c>
      <c r="B14" s="4">
        <f t="shared" ref="B14:B23" si="0">A14^3-A14^2*EXP(-0.5*A14)-3*A14+1</f>
        <v>-2.6382500373785192</v>
      </c>
    </row>
    <row r="15" spans="1:8" x14ac:dyDescent="0.25">
      <c r="A15" s="4">
        <f t="shared" ref="A15:A23" si="1">A14+0.5</f>
        <v>-1</v>
      </c>
      <c r="B15" s="4">
        <f t="shared" si="0"/>
        <v>1.3512787292998718</v>
      </c>
    </row>
    <row r="16" spans="1:8" x14ac:dyDescent="0.25">
      <c r="A16" s="4">
        <f t="shared" si="1"/>
        <v>-0.5</v>
      </c>
      <c r="B16" s="4">
        <f t="shared" si="0"/>
        <v>2.0539936458280645</v>
      </c>
    </row>
    <row r="17" spans="1:7" x14ac:dyDescent="0.25">
      <c r="A17" s="4">
        <f t="shared" si="1"/>
        <v>0</v>
      </c>
      <c r="B17" s="4">
        <f t="shared" si="0"/>
        <v>1</v>
      </c>
    </row>
    <row r="18" spans="1:7" x14ac:dyDescent="0.25">
      <c r="A18" s="4">
        <f t="shared" si="1"/>
        <v>0.5</v>
      </c>
      <c r="B18" s="4">
        <f t="shared" si="0"/>
        <v>-0.56970019576785114</v>
      </c>
    </row>
    <row r="19" spans="1:7" x14ac:dyDescent="0.25">
      <c r="A19" s="4">
        <f t="shared" si="1"/>
        <v>1</v>
      </c>
      <c r="B19" s="4">
        <f t="shared" si="0"/>
        <v>-1.6065306597126332</v>
      </c>
    </row>
    <row r="20" spans="1:7" x14ac:dyDescent="0.25">
      <c r="A20" s="4">
        <f t="shared" si="1"/>
        <v>1.5</v>
      </c>
      <c r="B20" s="4">
        <f t="shared" si="0"/>
        <v>-1.1878247436672833</v>
      </c>
    </row>
    <row r="21" spans="1:7" x14ac:dyDescent="0.25">
      <c r="A21" s="4">
        <f t="shared" si="1"/>
        <v>2</v>
      </c>
      <c r="B21" s="4">
        <f t="shared" si="0"/>
        <v>1.5284822353142307</v>
      </c>
    </row>
    <row r="22" spans="1:7" x14ac:dyDescent="0.25">
      <c r="A22" s="4">
        <f t="shared" si="1"/>
        <v>2.5</v>
      </c>
      <c r="B22" s="4">
        <f t="shared" si="0"/>
        <v>7.3343450196238127</v>
      </c>
    </row>
    <row r="23" spans="1:7" x14ac:dyDescent="0.25">
      <c r="A23" s="4">
        <f t="shared" si="1"/>
        <v>3</v>
      </c>
      <c r="B23" s="4">
        <f t="shared" si="0"/>
        <v>16.991828558664132</v>
      </c>
    </row>
    <row r="26" spans="1:7" x14ac:dyDescent="0.25">
      <c r="A26" s="1" t="s">
        <v>13</v>
      </c>
    </row>
    <row r="27" spans="1:7" x14ac:dyDescent="0.25">
      <c r="A27" s="3" t="s">
        <v>14</v>
      </c>
      <c r="B27" s="3" t="s">
        <v>15</v>
      </c>
      <c r="C27" s="3" t="s">
        <v>16</v>
      </c>
      <c r="D27" s="3" t="s">
        <v>17</v>
      </c>
      <c r="E27" s="3" t="s">
        <v>18</v>
      </c>
      <c r="F27" s="3" t="s">
        <v>19</v>
      </c>
      <c r="G27" s="3" t="s">
        <v>20</v>
      </c>
    </row>
    <row r="28" spans="1:7" x14ac:dyDescent="0.25">
      <c r="A28" s="4">
        <f>0</f>
        <v>0</v>
      </c>
      <c r="B28" s="4">
        <f>-1.5</f>
        <v>-1.5</v>
      </c>
      <c r="C28" s="4">
        <f>-1</f>
        <v>-1</v>
      </c>
      <c r="D28" s="4">
        <f>(B28+C28)/2</f>
        <v>-1.25</v>
      </c>
      <c r="E28" s="4">
        <f>B28^3-B28^2*EXP(-0.5*B28)-3*B28+1</f>
        <v>-2.6382500373785192</v>
      </c>
      <c r="F28" s="4">
        <f>C28^3-C28^2*EXP(-0.5*C28)-3*C28+1</f>
        <v>1.3512787292998718</v>
      </c>
      <c r="G28" s="4">
        <f>D28^3-D28^2*EXP(-0.5*D28)-3*D28+1</f>
        <v>-0.12225930848784738</v>
      </c>
    </row>
    <row r="29" spans="1:7" x14ac:dyDescent="0.25">
      <c r="A29" s="4">
        <f>A28+1</f>
        <v>1</v>
      </c>
      <c r="B29" s="4">
        <f>IF(E28*G28&lt;0,B28,D28)</f>
        <v>-1.25</v>
      </c>
      <c r="C29" s="4">
        <f>IF(E28*G28&lt;0,D28,C28)</f>
        <v>-1</v>
      </c>
      <c r="D29" s="4">
        <f>(B29+C29)/2</f>
        <v>-1.125</v>
      </c>
      <c r="E29" s="4">
        <f>B29^3-B29^2*EXP(-0.5*B29)-3*B29+1</f>
        <v>-0.12225930848784738</v>
      </c>
      <c r="F29" s="4">
        <f>C29^3-C29^2*EXP(-0.5*C29)-3*C29+1</f>
        <v>1.3512787292998718</v>
      </c>
      <c r="G29" s="4">
        <f>D29^3-D29^2*EXP(-0.5*D29)-3*D29+1</f>
        <v>0.72993082478462235</v>
      </c>
    </row>
    <row r="30" spans="1:7" x14ac:dyDescent="0.25">
      <c r="A30" s="4">
        <f t="shared" ref="A30:A32" si="2">A29+1</f>
        <v>2</v>
      </c>
      <c r="B30" s="4">
        <f t="shared" ref="B30:B32" si="3">IF(E29*G29&lt;0,B29,D29)</f>
        <v>-1.25</v>
      </c>
      <c r="C30" s="4">
        <f t="shared" ref="C30:C32" si="4">IF(E29*G29&lt;0,D29,C29)</f>
        <v>-1.125</v>
      </c>
      <c r="D30" s="4">
        <f t="shared" ref="D30:D32" si="5">(B30+C30)/2</f>
        <v>-1.1875</v>
      </c>
      <c r="E30" s="4">
        <f t="shared" ref="E30:E32" si="6">B30^3-B30^2*EXP(-0.5*B30)-3*B30+1</f>
        <v>-0.12225930848784738</v>
      </c>
      <c r="F30" s="4">
        <f t="shared" ref="F30:F32" si="7">C30^3-C30^2*EXP(-0.5*C30)-3*C30+1</f>
        <v>0.72993082478462235</v>
      </c>
      <c r="G30" s="4">
        <f t="shared" ref="G30:G32" si="8">D30^3-D30^2*EXP(-0.5*D30)-3*D30+1</f>
        <v>0.33447635923789498</v>
      </c>
    </row>
    <row r="31" spans="1:7" x14ac:dyDescent="0.25">
      <c r="A31" s="4">
        <f t="shared" si="2"/>
        <v>3</v>
      </c>
      <c r="B31" s="4">
        <f t="shared" si="3"/>
        <v>-1.25</v>
      </c>
      <c r="C31" s="4">
        <f t="shared" si="4"/>
        <v>-1.1875</v>
      </c>
      <c r="D31" s="4">
        <f t="shared" si="5"/>
        <v>-1.21875</v>
      </c>
      <c r="E31" s="4">
        <f t="shared" si="6"/>
        <v>-0.12225930848784738</v>
      </c>
      <c r="F31" s="4">
        <f t="shared" si="7"/>
        <v>0.33447635923789498</v>
      </c>
      <c r="G31" s="4">
        <f t="shared" si="8"/>
        <v>0.11399815032026517</v>
      </c>
    </row>
    <row r="32" spans="1:7" x14ac:dyDescent="0.25">
      <c r="A32" s="7">
        <f t="shared" si="2"/>
        <v>4</v>
      </c>
      <c r="B32" s="7">
        <f t="shared" si="3"/>
        <v>-1.25</v>
      </c>
      <c r="C32" s="7">
        <f t="shared" si="4"/>
        <v>-1.21875</v>
      </c>
      <c r="D32" s="7">
        <f t="shared" si="5"/>
        <v>-1.234375</v>
      </c>
      <c r="E32" s="7">
        <f t="shared" si="6"/>
        <v>-0.12225930848784738</v>
      </c>
      <c r="F32" s="7">
        <f t="shared" si="7"/>
        <v>0.11399815032026517</v>
      </c>
      <c r="G32" s="7">
        <f t="shared" si="8"/>
        <v>-2.1290798148916323E-3</v>
      </c>
    </row>
    <row r="35" spans="1:7" x14ac:dyDescent="0.25">
      <c r="A35" s="1" t="s">
        <v>21</v>
      </c>
    </row>
    <row r="36" spans="1:7" x14ac:dyDescent="0.25">
      <c r="A36" s="3" t="s">
        <v>14</v>
      </c>
      <c r="B36" s="3" t="s">
        <v>15</v>
      </c>
      <c r="C36" s="3" t="s">
        <v>16</v>
      </c>
      <c r="D36" s="3" t="s">
        <v>17</v>
      </c>
      <c r="E36" s="3" t="s">
        <v>18</v>
      </c>
      <c r="F36" s="3" t="s">
        <v>19</v>
      </c>
      <c r="G36" s="3" t="s">
        <v>20</v>
      </c>
    </row>
    <row r="37" spans="1:7" x14ac:dyDescent="0.25">
      <c r="A37" s="4">
        <f>0</f>
        <v>0</v>
      </c>
      <c r="B37" s="4">
        <f>0</f>
        <v>0</v>
      </c>
      <c r="C37" s="4">
        <f>0.5</f>
        <v>0.5</v>
      </c>
      <c r="D37" s="4">
        <f>(B37+C37)/2</f>
        <v>0.25</v>
      </c>
      <c r="E37" s="4">
        <f>B37^3-B37^2*EXP(-0.5*B37)-3*B37+1</f>
        <v>1</v>
      </c>
      <c r="F37" s="4">
        <f>C37^3-C37^2*EXP(-0.5*C37)-3*C37+1</f>
        <v>-0.56970019576785114</v>
      </c>
      <c r="G37" s="4">
        <f>D37^3-D37^2*EXP(-0.5*D37)-3*D37+1</f>
        <v>0.2104689435884628</v>
      </c>
    </row>
    <row r="38" spans="1:7" x14ac:dyDescent="0.25">
      <c r="A38" s="4">
        <f>A37+1</f>
        <v>1</v>
      </c>
      <c r="B38" s="4">
        <f>IF(E37*G37&lt;0,B37,D37)</f>
        <v>0.25</v>
      </c>
      <c r="C38" s="4">
        <f>IF(E37*G37&lt;0,D37,C37)</f>
        <v>0.5</v>
      </c>
      <c r="D38" s="4">
        <f>(B38+C38)/2</f>
        <v>0.375</v>
      </c>
      <c r="E38" s="4">
        <f>B38^3-B38^2*EXP(-0.5*B38)-3*B38+1</f>
        <v>0.2104689435884628</v>
      </c>
      <c r="F38" s="4">
        <f>C38^3-C38^2*EXP(-0.5*C38)-3*C38+1</f>
        <v>-0.56970019576785114</v>
      </c>
      <c r="G38" s="4">
        <f>D38^3-D38^2*EXP(-0.5*D38)-3*D38+1</f>
        <v>-0.18884784474411886</v>
      </c>
    </row>
    <row r="39" spans="1:7" x14ac:dyDescent="0.25">
      <c r="A39" s="4">
        <f t="shared" ref="A39:A43" si="9">A38+1</f>
        <v>2</v>
      </c>
      <c r="B39" s="4">
        <f t="shared" ref="B39:B43" si="10">IF(E38*G38&lt;0,B38,D38)</f>
        <v>0.25</v>
      </c>
      <c r="C39" s="4">
        <f t="shared" ref="C39:C43" si="11">IF(E38*G38&lt;0,D38,C38)</f>
        <v>0.375</v>
      </c>
      <c r="D39" s="4">
        <f t="shared" ref="D39:D43" si="12">(B39+C39)/2</f>
        <v>0.3125</v>
      </c>
      <c r="E39" s="4">
        <f t="shared" ref="E39:E43" si="13">B39^3-B39^2*EXP(-0.5*B39)-3*B39+1</f>
        <v>0.2104689435884628</v>
      </c>
      <c r="F39" s="4">
        <f t="shared" ref="F39:F43" si="14">C39^3-C39^2*EXP(-0.5*C39)-3*C39+1</f>
        <v>-0.18884784474411886</v>
      </c>
      <c r="G39" s="4">
        <f t="shared" ref="G39:G43" si="15">D39^3-D39^2*EXP(-0.5*D39)-3*D39+1</f>
        <v>9.4877610051344874E-3</v>
      </c>
    </row>
    <row r="40" spans="1:7" x14ac:dyDescent="0.25">
      <c r="A40" s="4">
        <f t="shared" si="9"/>
        <v>3</v>
      </c>
      <c r="B40" s="4">
        <f t="shared" si="10"/>
        <v>0.3125</v>
      </c>
      <c r="C40" s="4">
        <f t="shared" si="11"/>
        <v>0.375</v>
      </c>
      <c r="D40" s="4">
        <f t="shared" si="12"/>
        <v>0.34375</v>
      </c>
      <c r="E40" s="4">
        <f t="shared" si="13"/>
        <v>9.4877610051344874E-3</v>
      </c>
      <c r="F40" s="4">
        <f t="shared" si="14"/>
        <v>-0.18884784474411886</v>
      </c>
      <c r="G40" s="4">
        <f t="shared" si="15"/>
        <v>-9.0135220394872428E-2</v>
      </c>
    </row>
    <row r="41" spans="1:7" x14ac:dyDescent="0.25">
      <c r="A41" s="4">
        <f t="shared" si="9"/>
        <v>4</v>
      </c>
      <c r="B41" s="4">
        <f t="shared" si="10"/>
        <v>0.3125</v>
      </c>
      <c r="C41" s="4">
        <f t="shared" si="11"/>
        <v>0.34375</v>
      </c>
      <c r="D41" s="4">
        <f t="shared" si="12"/>
        <v>0.328125</v>
      </c>
      <c r="E41" s="4">
        <f t="shared" si="13"/>
        <v>9.4877610051344874E-3</v>
      </c>
      <c r="F41" s="4">
        <f t="shared" si="14"/>
        <v>-9.0135220394872428E-2</v>
      </c>
      <c r="G41" s="4">
        <f t="shared" si="15"/>
        <v>-4.0422049298882712E-2</v>
      </c>
    </row>
    <row r="42" spans="1:7" x14ac:dyDescent="0.25">
      <c r="A42" s="4">
        <f t="shared" si="9"/>
        <v>5</v>
      </c>
      <c r="B42" s="4">
        <f t="shared" si="10"/>
        <v>0.3125</v>
      </c>
      <c r="C42" s="4">
        <f t="shared" si="11"/>
        <v>0.328125</v>
      </c>
      <c r="D42" s="4">
        <f t="shared" si="12"/>
        <v>0.3203125</v>
      </c>
      <c r="E42" s="4">
        <f t="shared" si="13"/>
        <v>9.4877610051344874E-3</v>
      </c>
      <c r="F42" s="4">
        <f t="shared" si="14"/>
        <v>-4.0422049298882712E-2</v>
      </c>
      <c r="G42" s="4">
        <f t="shared" si="15"/>
        <v>-1.5489782308668598E-2</v>
      </c>
    </row>
    <row r="43" spans="1:7" x14ac:dyDescent="0.25">
      <c r="A43" s="7">
        <f t="shared" si="9"/>
        <v>6</v>
      </c>
      <c r="B43" s="7">
        <f t="shared" si="10"/>
        <v>0.3125</v>
      </c>
      <c r="C43" s="7">
        <f t="shared" si="11"/>
        <v>0.3203125</v>
      </c>
      <c r="D43" s="7">
        <f t="shared" si="12"/>
        <v>0.31640625</v>
      </c>
      <c r="E43" s="7">
        <f t="shared" si="13"/>
        <v>9.4877610051344874E-3</v>
      </c>
      <c r="F43" s="7">
        <f t="shared" si="14"/>
        <v>-1.5489782308668598E-2</v>
      </c>
      <c r="G43" s="7">
        <f t="shared" si="15"/>
        <v>-3.006427010124435E-3</v>
      </c>
    </row>
    <row r="46" spans="1:7" x14ac:dyDescent="0.25">
      <c r="A46" s="1" t="s">
        <v>22</v>
      </c>
    </row>
    <row r="47" spans="1:7" x14ac:dyDescent="0.25">
      <c r="A47" s="3" t="s">
        <v>14</v>
      </c>
      <c r="B47" s="3" t="s">
        <v>15</v>
      </c>
      <c r="C47" s="3" t="s">
        <v>16</v>
      </c>
      <c r="D47" s="3" t="s">
        <v>17</v>
      </c>
      <c r="E47" s="3" t="s">
        <v>18</v>
      </c>
      <c r="F47" s="3" t="s">
        <v>19</v>
      </c>
      <c r="G47" s="3" t="s">
        <v>20</v>
      </c>
    </row>
    <row r="48" spans="1:7" x14ac:dyDescent="0.25">
      <c r="A48" s="4">
        <f>0</f>
        <v>0</v>
      </c>
      <c r="B48" s="4">
        <f>1.5</f>
        <v>1.5</v>
      </c>
      <c r="C48" s="4">
        <f>2</f>
        <v>2</v>
      </c>
      <c r="D48" s="4">
        <f>(B48+C48)/2</f>
        <v>1.75</v>
      </c>
      <c r="E48" s="4">
        <f>B48^3-B48^2*EXP(-0.5*B48)-3*B48+1</f>
        <v>-1.1878247436672833</v>
      </c>
      <c r="F48" s="4">
        <f>C48^3-C48^2*EXP(-0.5*C48)-3*C48+1</f>
        <v>1.5284822353142307</v>
      </c>
      <c r="G48" s="4">
        <f>D48^3-D48^2*EXP(-0.5*D48)-3*D48+1</f>
        <v>-0.16726493526543162</v>
      </c>
    </row>
    <row r="49" spans="1:7" x14ac:dyDescent="0.25">
      <c r="A49" s="4">
        <f>A48+1</f>
        <v>1</v>
      </c>
      <c r="B49" s="4">
        <f>IF(E48*G48&lt;0,B48,D48)</f>
        <v>1.75</v>
      </c>
      <c r="C49" s="4">
        <f>IF(E48*G48&lt;0,D48,C48)</f>
        <v>2</v>
      </c>
      <c r="D49" s="4">
        <f>(B49+C49)/2</f>
        <v>1.875</v>
      </c>
      <c r="E49" s="4">
        <f>B49^3-B49^2*EXP(-0.5*B49)-3*B49+1</f>
        <v>-0.16726493526543162</v>
      </c>
      <c r="F49" s="4">
        <f>C49^3-C49^2*EXP(-0.5*C49)-3*C49+1</f>
        <v>1.5284822353142307</v>
      </c>
      <c r="G49" s="4">
        <f>D49^3-D49^2*EXP(-0.5*D49)-3*D49+1</f>
        <v>0.59005834371437871</v>
      </c>
    </row>
    <row r="50" spans="1:7" x14ac:dyDescent="0.25">
      <c r="A50" s="4">
        <f t="shared" ref="A50:A56" si="16">A49+1</f>
        <v>2</v>
      </c>
      <c r="B50" s="4">
        <f t="shared" ref="B50:B56" si="17">IF(E49*G49&lt;0,B49,D49)</f>
        <v>1.75</v>
      </c>
      <c r="C50" s="4">
        <f t="shared" ref="C50:C56" si="18">IF(E49*G49&lt;0,D49,C49)</f>
        <v>1.875</v>
      </c>
      <c r="D50" s="4">
        <f t="shared" ref="D50:D56" si="19">(B50+C50)/2</f>
        <v>1.8125</v>
      </c>
      <c r="E50" s="4">
        <f t="shared" ref="E50:E56" si="20">B50^3-B50^2*EXP(-0.5*B50)-3*B50+1</f>
        <v>-0.16726493526543162</v>
      </c>
      <c r="F50" s="4">
        <f t="shared" ref="F50:F56" si="21">C50^3-C50^2*EXP(-0.5*C50)-3*C50+1</f>
        <v>0.59005834371437871</v>
      </c>
      <c r="G50" s="4">
        <f t="shared" ref="G50:G56" si="22">D50^3-D50^2*EXP(-0.5*D50)-3*D50+1</f>
        <v>0.18952259218409928</v>
      </c>
    </row>
    <row r="51" spans="1:7" x14ac:dyDescent="0.25">
      <c r="A51" s="4">
        <f t="shared" si="16"/>
        <v>3</v>
      </c>
      <c r="B51" s="4">
        <f t="shared" si="17"/>
        <v>1.75</v>
      </c>
      <c r="C51" s="4">
        <f t="shared" si="18"/>
        <v>1.8125</v>
      </c>
      <c r="D51" s="4">
        <f t="shared" si="19"/>
        <v>1.78125</v>
      </c>
      <c r="E51" s="4">
        <f t="shared" si="20"/>
        <v>-0.16726493526543162</v>
      </c>
      <c r="F51" s="4">
        <f t="shared" si="21"/>
        <v>0.18952259218409928</v>
      </c>
      <c r="G51" s="4">
        <f t="shared" si="22"/>
        <v>5.7561880955994127E-3</v>
      </c>
    </row>
    <row r="52" spans="1:7" x14ac:dyDescent="0.25">
      <c r="A52" s="4">
        <f t="shared" si="16"/>
        <v>4</v>
      </c>
      <c r="B52" s="4">
        <f t="shared" si="17"/>
        <v>1.75</v>
      </c>
      <c r="C52" s="4">
        <f t="shared" si="18"/>
        <v>1.78125</v>
      </c>
      <c r="D52" s="4">
        <f t="shared" si="19"/>
        <v>1.765625</v>
      </c>
      <c r="E52" s="4">
        <f t="shared" si="20"/>
        <v>-0.16726493526543162</v>
      </c>
      <c r="F52" s="4">
        <f t="shared" si="21"/>
        <v>5.7561880955994127E-3</v>
      </c>
      <c r="G52" s="4">
        <f t="shared" si="22"/>
        <v>-8.2085517878812908E-2</v>
      </c>
    </row>
    <row r="53" spans="1:7" x14ac:dyDescent="0.25">
      <c r="A53" s="4">
        <f t="shared" si="16"/>
        <v>5</v>
      </c>
      <c r="B53" s="4">
        <f t="shared" si="17"/>
        <v>1.765625</v>
      </c>
      <c r="C53" s="4">
        <f t="shared" si="18"/>
        <v>1.78125</v>
      </c>
      <c r="D53" s="4">
        <f t="shared" si="19"/>
        <v>1.7734375</v>
      </c>
      <c r="E53" s="4">
        <f t="shared" si="20"/>
        <v>-8.2085517878812908E-2</v>
      </c>
      <c r="F53" s="4">
        <f t="shared" si="21"/>
        <v>5.7561880955994127E-3</v>
      </c>
      <c r="G53" s="4">
        <f t="shared" si="22"/>
        <v>-3.8498954300466792E-2</v>
      </c>
    </row>
    <row r="54" spans="1:7" x14ac:dyDescent="0.25">
      <c r="A54" s="4">
        <f t="shared" si="16"/>
        <v>6</v>
      </c>
      <c r="B54" s="4">
        <f t="shared" si="17"/>
        <v>1.7734375</v>
      </c>
      <c r="C54" s="4">
        <f t="shared" si="18"/>
        <v>1.78125</v>
      </c>
      <c r="D54" s="4">
        <f t="shared" si="19"/>
        <v>1.77734375</v>
      </c>
      <c r="E54" s="4">
        <f t="shared" si="20"/>
        <v>-3.8498954300466792E-2</v>
      </c>
      <c r="F54" s="4">
        <f t="shared" si="21"/>
        <v>5.7561880955994127E-3</v>
      </c>
      <c r="G54" s="4">
        <f t="shared" si="22"/>
        <v>-1.6455143251628002E-2</v>
      </c>
    </row>
    <row r="55" spans="1:7" x14ac:dyDescent="0.25">
      <c r="A55" s="4">
        <f t="shared" si="16"/>
        <v>7</v>
      </c>
      <c r="B55" s="4">
        <f t="shared" si="17"/>
        <v>1.77734375</v>
      </c>
      <c r="C55" s="4">
        <f t="shared" si="18"/>
        <v>1.78125</v>
      </c>
      <c r="D55" s="4">
        <f t="shared" si="19"/>
        <v>1.779296875</v>
      </c>
      <c r="E55" s="4">
        <f t="shared" si="20"/>
        <v>-1.6455143251628002E-2</v>
      </c>
      <c r="F55" s="4">
        <f t="shared" si="21"/>
        <v>5.7561880955994127E-3</v>
      </c>
      <c r="G55" s="4">
        <f t="shared" si="22"/>
        <v>-5.3704410824852999E-3</v>
      </c>
    </row>
    <row r="56" spans="1:7" x14ac:dyDescent="0.25">
      <c r="A56" s="7">
        <f t="shared" si="16"/>
        <v>8</v>
      </c>
      <c r="B56" s="7">
        <f t="shared" si="17"/>
        <v>1.779296875</v>
      </c>
      <c r="C56" s="7">
        <f t="shared" si="18"/>
        <v>1.78125</v>
      </c>
      <c r="D56" s="7">
        <f t="shared" si="19"/>
        <v>1.7802734375</v>
      </c>
      <c r="E56" s="7">
        <f t="shared" si="20"/>
        <v>-5.3704410824852999E-3</v>
      </c>
      <c r="F56" s="7">
        <f t="shared" si="21"/>
        <v>5.7561880955994127E-3</v>
      </c>
      <c r="G56" s="7">
        <f t="shared" si="22"/>
        <v>1.8762969750696357E-4</v>
      </c>
    </row>
  </sheetData>
  <mergeCells count="4">
    <mergeCell ref="A1:H1"/>
    <mergeCell ref="B3:H3"/>
    <mergeCell ref="B5:E5"/>
    <mergeCell ref="D13:H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Biseccion_Ej3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Genesis Jalid Tapia Cortez</cp:lastModifiedBy>
  <dcterms:created xsi:type="dcterms:W3CDTF">2025-11-30T20:00:15Z</dcterms:created>
  <dcterms:modified xsi:type="dcterms:W3CDTF">2025-11-30T20:30:08Z</dcterms:modified>
</cp:coreProperties>
</file>