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20806049-076D-467F-998D-681407D9BCF2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Newton_Ej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24" i="1"/>
  <c r="B25" i="1"/>
  <c r="B26" i="1"/>
  <c r="B27" i="1"/>
  <c r="B28" i="1"/>
  <c r="B29" i="1"/>
  <c r="A21" i="1"/>
  <c r="A22" i="1"/>
  <c r="A23" i="1" s="1"/>
  <c r="A24" i="1" s="1"/>
  <c r="A25" i="1" s="1"/>
  <c r="A26" i="1" s="1"/>
  <c r="A27" i="1" s="1"/>
  <c r="A28" i="1" s="1"/>
  <c r="A29" i="1" s="1"/>
  <c r="B19" i="1"/>
  <c r="A20" i="1"/>
  <c r="A19" i="1"/>
  <c r="I13" i="1"/>
  <c r="J13" i="1"/>
  <c r="K13" i="1" s="1"/>
  <c r="L12" i="1"/>
  <c r="K12" i="1"/>
  <c r="K11" i="1"/>
  <c r="J12" i="1" s="1"/>
  <c r="I12" i="1"/>
  <c r="L11" i="1"/>
  <c r="J11" i="1"/>
  <c r="I11" i="1"/>
  <c r="E13" i="1"/>
  <c r="F13" i="1"/>
  <c r="G13" i="1" s="1"/>
  <c r="H12" i="1"/>
  <c r="G12" i="1"/>
  <c r="F12" i="1"/>
  <c r="E12" i="1"/>
  <c r="H11" i="1"/>
  <c r="G11" i="1"/>
  <c r="F11" i="1"/>
  <c r="E11" i="1"/>
  <c r="A13" i="1"/>
  <c r="B13" i="1"/>
  <c r="D13" i="1" s="1"/>
  <c r="C13" i="1"/>
  <c r="D12" i="1"/>
  <c r="C12" i="1"/>
  <c r="B12" i="1"/>
  <c r="D11" i="1"/>
  <c r="C11" i="1"/>
  <c r="A12" i="1"/>
  <c r="B11" i="1"/>
  <c r="A11" i="1"/>
  <c r="L13" i="1" l="1"/>
  <c r="H13" i="1"/>
</calcChain>
</file>

<file path=xl/sharedStrings.xml><?xml version="1.0" encoding="utf-8"?>
<sst xmlns="http://schemas.openxmlformats.org/spreadsheetml/2006/main" count="26" uniqueCount="18">
  <si>
    <t>RAÍCES → MÉTODO DE NEWTON - RAPHSON</t>
  </si>
  <si>
    <t>Ejercicio 3:</t>
  </si>
  <si>
    <t>Determinar las tres raíces de la ecuación x^3 − x^2·e^{−0,5x} − 3x = −1.</t>
  </si>
  <si>
    <t>Función:</t>
  </si>
  <si>
    <t>f(x) = x^3 − x^2·e^{−0,5x} − 3x + 1</t>
  </si>
  <si>
    <t>tol = 0.00005</t>
  </si>
  <si>
    <t>Derivada:</t>
  </si>
  <si>
    <t>f'(x) = 3x² + (0,5x² − 2x)e^{−0,5x} − 3</t>
  </si>
  <si>
    <t>Condición: |f(x_i)| ≤ tol</t>
  </si>
  <si>
    <t>Raíz 1 (x₀ ≈ -1,2)</t>
  </si>
  <si>
    <t>Raíz 2 (x₀ ≈ 0,3)</t>
  </si>
  <si>
    <t>Raíz 3 (x₀ ≈ 1,8)</t>
  </si>
  <si>
    <t>#</t>
  </si>
  <si>
    <t>x_i</t>
  </si>
  <si>
    <t>f(x_i)</t>
  </si>
  <si>
    <t>f'(x_i)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</si>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</sst>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Newton_Ej3!$B$18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Newton_Ej3!$A$19:$A$29</c:f>
              <c:numCache>
                <c:formatCode>General</c:formatCode>
                <c:ptCount val="11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</c:numCache>
            </c:numRef>
          </c:xVal>
          <c:yVal>
            <c:numRef>
              <c:f>Newton_Ej3!$B$19:$B$29</c:f>
              <c:numCache>
                <c:formatCode>General</c:formatCode>
                <c:ptCount val="11"/>
                <c:pt idx="0">
                  <c:v>-11.873127313836179</c:v>
                </c:pt>
                <c:pt idx="1">
                  <c:v>-2.6382500373785192</c:v>
                </c:pt>
                <c:pt idx="2">
                  <c:v>1.3512787292998718</c:v>
                </c:pt>
                <c:pt idx="3">
                  <c:v>2.0539936458280645</c:v>
                </c:pt>
                <c:pt idx="4">
                  <c:v>1</c:v>
                </c:pt>
                <c:pt idx="5">
                  <c:v>-0.56970019576785114</c:v>
                </c:pt>
                <c:pt idx="6">
                  <c:v>-1.6065306597126332</c:v>
                </c:pt>
                <c:pt idx="7">
                  <c:v>-1.1878247436672833</c:v>
                </c:pt>
                <c:pt idx="8">
                  <c:v>1.5284822353142307</c:v>
                </c:pt>
                <c:pt idx="9">
                  <c:v>7.3343450196238127</c:v>
                </c:pt>
                <c:pt idx="10">
                  <c:v>16.991828558664132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1A-4395-B158-039183CD5A26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Newton_Ej3!$B$13</c:f>
              <c:numCache>
                <c:formatCode>General</c:formatCode>
                <c:ptCount val="1"/>
                <c:pt idx="0">
                  <c:v>-1.2340951937674507</c:v>
                </c:pt>
              </c:numCache>
            </c:numRef>
          </c:xVal>
          <c:yVal>
            <c:numRef>
              <c:f>Newton_Ej3!$C$13</c:f>
              <c:numCache>
                <c:formatCode>General</c:formatCode>
                <c:ptCount val="1"/>
                <c:pt idx="0">
                  <c:v>-1.4494420002009178E-5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1A-4395-B158-039183CD5A26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Newton_Ej3!$F$13</c:f>
              <c:numCache>
                <c:formatCode>General</c:formatCode>
                <c:ptCount val="1"/>
                <c:pt idx="0">
                  <c:v>0.31546600072211045</c:v>
                </c:pt>
              </c:numCache>
            </c:numRef>
          </c:xVal>
          <c:yVal>
            <c:numRef>
              <c:f>Newton_Ej3!$G$13</c:f>
              <c:numCache>
                <c:formatCode>General</c:formatCode>
                <c:ptCount val="1"/>
                <c:pt idx="0">
                  <c:v>1.8632861920053756E-10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1A-4395-B158-039183CD5A26}"/>
            </c:ext>
          </c:extLst>
        </c:ser>
        <c:ser>
          <c:idx val="3"/>
          <c:order val="3"/>
          <c:tx>
            <c:v>raiz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Newton_Ej3!$J$13</c:f>
              <c:numCache>
                <c:formatCode>General</c:formatCode>
                <c:ptCount val="1"/>
                <c:pt idx="0">
                  <c:v>1.780240629661453</c:v>
                </c:pt>
              </c:numCache>
            </c:numRef>
          </c:xVal>
          <c:yVal>
            <c:numRef>
              <c:f>Newton_Ej3!$K$13</c:f>
              <c:numCache>
                <c:formatCode>General</c:formatCode>
                <c:ptCount val="1"/>
                <c:pt idx="0">
                  <c:v>7.3483401319407449E-7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1A-4395-B158-039183CD5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3647"/>
        <c:axId val="1028426927"/>
      </c:scatterChart>
      <c:valAx>
        <c:axId val="88813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8426927"/>
        <c:crosses val="autoZero"/>
        <c:crossBetween val="midCat"/>
      </c:valAx>
      <c:valAx>
        <c:axId val="10284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f(n)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3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16</xdr:row>
      <xdr:rowOff>33337</xdr:rowOff>
    </xdr:from>
    <xdr:to>
      <xdr:col>8</xdr:col>
      <xdr:colOff>476250</xdr:colOff>
      <xdr:row>30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C8681A-E3CF-7597-5F79-5F312C8CB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2" width="14" customWidth="1"/>
  </cols>
  <sheetData>
    <row r="1" spans="1:12" ht="18.7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25">
      <c r="A3" s="1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x14ac:dyDescent="0.25">
      <c r="A5" s="1" t="s">
        <v>3</v>
      </c>
      <c r="B5" s="6" t="s">
        <v>4</v>
      </c>
      <c r="C5" s="6"/>
      <c r="D5" s="6"/>
      <c r="E5" s="6"/>
      <c r="G5" s="2" t="s">
        <v>5</v>
      </c>
    </row>
    <row r="6" spans="1:12" x14ac:dyDescent="0.25">
      <c r="A6" s="1" t="s">
        <v>6</v>
      </c>
      <c r="B6" s="6" t="s">
        <v>7</v>
      </c>
      <c r="C6" s="6"/>
      <c r="D6" s="6"/>
      <c r="E6" s="6"/>
      <c r="G6" s="2" t="s">
        <v>8</v>
      </c>
    </row>
    <row r="8" spans="1:12" x14ac:dyDescent="0.25">
      <c r="A8" s="1" t="s">
        <v>9</v>
      </c>
      <c r="E8" s="1" t="s">
        <v>10</v>
      </c>
      <c r="I8" s="1" t="s">
        <v>11</v>
      </c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12</v>
      </c>
      <c r="J10" s="3" t="s">
        <v>13</v>
      </c>
      <c r="K10" s="3" t="s">
        <v>14</v>
      </c>
      <c r="L10" s="3" t="s">
        <v>15</v>
      </c>
    </row>
    <row r="11" spans="1:12" x14ac:dyDescent="0.25">
      <c r="A11" s="4">
        <f>0</f>
        <v>0</v>
      </c>
      <c r="B11" s="4">
        <f>-1.2</f>
        <v>-1.2</v>
      </c>
      <c r="C11" s="4">
        <f>B11^3-B11^2*EXP(-0.5*B11)-3*B11+1</f>
        <v>0.2481489274376667</v>
      </c>
      <c r="D11" s="4">
        <f>3*B11^2+(0.5*B11^2-2*B11)*EXP(-0.5*B11)-3</f>
        <v>7.0050106572183886</v>
      </c>
      <c r="E11" s="4">
        <f>0</f>
        <v>0</v>
      </c>
      <c r="F11" s="4">
        <f>0.3</f>
        <v>0.3</v>
      </c>
      <c r="G11" s="4">
        <f>F11^3-F11^2*EXP(-0.5*F11)-3*F11+1</f>
        <v>4.9536282121744879E-2</v>
      </c>
      <c r="H11" s="4">
        <f>3*F11^2+(0.5*F11^2-2*F11)*EXP(-0.5*F11)-3</f>
        <v>-3.2076929269159069</v>
      </c>
      <c r="I11" s="4">
        <f>0</f>
        <v>0</v>
      </c>
      <c r="J11" s="4">
        <f>1.8</f>
        <v>1.8</v>
      </c>
      <c r="K11" s="4">
        <f>J11^3-J11^2*EXP(-0.5*J11)-3*J11+1</f>
        <v>0.11471430244045955</v>
      </c>
      <c r="L11" s="4">
        <f>3*J11^2+(0.5*J11^2-2*J11)*EXP(-0.5*J11)-3</f>
        <v>5.9149920737136146</v>
      </c>
    </row>
    <row r="12" spans="1:12" x14ac:dyDescent="0.25">
      <c r="A12" s="4">
        <f>A11+1</f>
        <v>1</v>
      </c>
      <c r="B12" s="4">
        <f>B11-C11/D11</f>
        <v>-1.2354244896375652</v>
      </c>
      <c r="C12" s="4">
        <f>B12^3-B12^2*EXP(-0.5*B12)-3*B12+1</f>
        <v>-1.0071849147345269E-2</v>
      </c>
      <c r="D12" s="4">
        <f>3*B12^2+(0.5*B12^2-2*B12)*EXP(-0.5*B12)-3</f>
        <v>7.5768302405675314</v>
      </c>
      <c r="E12" s="4">
        <f>E11+1</f>
        <v>1</v>
      </c>
      <c r="F12" s="4">
        <f>F11-G11/H11</f>
        <v>0.31544296266830391</v>
      </c>
      <c r="G12" s="4">
        <f>F12^3-F12^2*EXP(-0.5*F12)-3*F12+1</f>
        <v>7.3671696567689793E-5</v>
      </c>
      <c r="H12" s="4">
        <f>3*F12^2+(0.5*F12^2-2*F12)*EXP(-0.5*F12)-3</f>
        <v>-3.1978263956782964</v>
      </c>
      <c r="I12" s="4">
        <f>I11+1</f>
        <v>1</v>
      </c>
      <c r="J12" s="4">
        <f>J11-K11/L11</f>
        <v>1.7806061781637454</v>
      </c>
      <c r="K12" s="4">
        <f>J12^3-J12^2*EXP(-0.5*J12)-3*J12+1</f>
        <v>2.0838065532355898E-3</v>
      </c>
      <c r="L12" s="4">
        <f>3*J12^2+(0.5*J12^2-2*J12)*EXP(-0.5*J12)-3</f>
        <v>5.7004926573835668</v>
      </c>
    </row>
    <row r="13" spans="1:12" x14ac:dyDescent="0.25">
      <c r="A13" s="7">
        <f>A12+1</f>
        <v>2</v>
      </c>
      <c r="B13" s="7">
        <f>B12-C12/D12</f>
        <v>-1.2340951937674507</v>
      </c>
      <c r="C13" s="7">
        <f>B13^3-B13^2*EXP(-0.5*B13)-3*B13+1</f>
        <v>-1.4494420002009178E-5</v>
      </c>
      <c r="D13" s="7">
        <f>3*B13^2+(0.5*B13^2-2*B13)*EXP(-0.5*B13)-3</f>
        <v>7.5550270953337026</v>
      </c>
      <c r="E13" s="7">
        <f>E12+1</f>
        <v>2</v>
      </c>
      <c r="F13" s="7">
        <f>F12-G12/H12</f>
        <v>0.31546600072211045</v>
      </c>
      <c r="G13" s="7">
        <f>F13^3-F13^2*EXP(-0.5*F13)-3*F13+1</f>
        <v>1.8632861920053756E-10</v>
      </c>
      <c r="H13" s="7">
        <f>3*F13^2+(0.5*F13^2-2*F13)*EXP(-0.5*F13)-3</f>
        <v>-3.19781021922915</v>
      </c>
      <c r="I13" s="7">
        <f>I12+1</f>
        <v>2</v>
      </c>
      <c r="J13" s="7">
        <f>J12-K12/L12</f>
        <v>1.780240629661453</v>
      </c>
      <c r="K13" s="7">
        <f>J13^3-J13^2*EXP(-0.5*J13)-3*J13+1</f>
        <v>7.3483401319407449E-7</v>
      </c>
      <c r="L13" s="7">
        <f>3*J13^2+(0.5*J13^2-2*J13)*EXP(-0.5*J13)-3</f>
        <v>5.6964723516064684</v>
      </c>
    </row>
    <row r="18" spans="1:2" x14ac:dyDescent="0.25">
      <c r="A18" s="3" t="s">
        <v>16</v>
      </c>
      <c r="B18" s="3" t="s">
        <v>17</v>
      </c>
    </row>
    <row r="19" spans="1:2" x14ac:dyDescent="0.25">
      <c r="A19" s="4">
        <f>-2</f>
        <v>-2</v>
      </c>
      <c r="B19" s="4">
        <f>A19^3-A19^2*EXP(-0.5*A19)-3*A19+1</f>
        <v>-11.873127313836179</v>
      </c>
    </row>
    <row r="20" spans="1:2" x14ac:dyDescent="0.25">
      <c r="A20" s="4">
        <f>A19+0.5</f>
        <v>-1.5</v>
      </c>
      <c r="B20" s="4">
        <f t="shared" ref="B20:B29" si="0">A20^3-A20^2*EXP(-0.5*A20)-3*A20+1</f>
        <v>-2.6382500373785192</v>
      </c>
    </row>
    <row r="21" spans="1:2" x14ac:dyDescent="0.25">
      <c r="A21" s="4">
        <f t="shared" ref="A21:A29" si="1">A20+0.5</f>
        <v>-1</v>
      </c>
      <c r="B21" s="4">
        <f t="shared" si="0"/>
        <v>1.3512787292998718</v>
      </c>
    </row>
    <row r="22" spans="1:2" x14ac:dyDescent="0.25">
      <c r="A22" s="4">
        <f t="shared" si="1"/>
        <v>-0.5</v>
      </c>
      <c r="B22" s="4">
        <f t="shared" si="0"/>
        <v>2.0539936458280645</v>
      </c>
    </row>
    <row r="23" spans="1:2" x14ac:dyDescent="0.25">
      <c r="A23" s="4">
        <f t="shared" si="1"/>
        <v>0</v>
      </c>
      <c r="B23" s="4">
        <f t="shared" si="0"/>
        <v>1</v>
      </c>
    </row>
    <row r="24" spans="1:2" x14ac:dyDescent="0.25">
      <c r="A24" s="4">
        <f t="shared" si="1"/>
        <v>0.5</v>
      </c>
      <c r="B24" s="4">
        <f t="shared" si="0"/>
        <v>-0.56970019576785114</v>
      </c>
    </row>
    <row r="25" spans="1:2" x14ac:dyDescent="0.25">
      <c r="A25" s="4">
        <f t="shared" si="1"/>
        <v>1</v>
      </c>
      <c r="B25" s="4">
        <f t="shared" si="0"/>
        <v>-1.6065306597126332</v>
      </c>
    </row>
    <row r="26" spans="1:2" x14ac:dyDescent="0.25">
      <c r="A26" s="4">
        <f t="shared" si="1"/>
        <v>1.5</v>
      </c>
      <c r="B26" s="4">
        <f t="shared" si="0"/>
        <v>-1.1878247436672833</v>
      </c>
    </row>
    <row r="27" spans="1:2" x14ac:dyDescent="0.25">
      <c r="A27" s="4">
        <f t="shared" si="1"/>
        <v>2</v>
      </c>
      <c r="B27" s="4">
        <f t="shared" si="0"/>
        <v>1.5284822353142307</v>
      </c>
    </row>
    <row r="28" spans="1:2" x14ac:dyDescent="0.25">
      <c r="A28" s="4">
        <f t="shared" si="1"/>
        <v>2.5</v>
      </c>
      <c r="B28" s="4">
        <f t="shared" si="0"/>
        <v>7.3343450196238127</v>
      </c>
    </row>
    <row r="29" spans="1:2" x14ac:dyDescent="0.25">
      <c r="A29" s="4">
        <f t="shared" si="1"/>
        <v>3</v>
      </c>
      <c r="B29" s="4">
        <f t="shared" si="0"/>
        <v>16.991828558664132</v>
      </c>
    </row>
  </sheetData>
  <mergeCells count="4">
    <mergeCell ref="A1:L1"/>
    <mergeCell ref="B3:L3"/>
    <mergeCell ref="B5:E5"/>
    <mergeCell ref="B6:E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Newton_Ej3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2025-11-30T20:00:15Z</dcterms:created>
  <dcterms:modified xsi:type="dcterms:W3CDTF">2025-11-30T20:48:57Z</dcterms:modified>
</cp:coreProperties>
</file>