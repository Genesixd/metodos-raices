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OMPU\Desktop\U\METODOS NUMERICOS\PROYECTO RAICES\"/>
    </mc:Choice>
  </mc:AlternateContent>
  <xr:revisionPtr revIDLastSave="0" documentId="13_ncr:1_{688B4D60-DEE7-43E9-9D33-1ABFC2CC6813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ecante_Ej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" l="1"/>
  <c r="B11" i="1" s="1"/>
  <c r="A10" i="1"/>
  <c r="B10" i="1" s="1"/>
  <c r="F18" i="1"/>
  <c r="E18" i="1"/>
  <c r="E19" i="1" s="1"/>
  <c r="E20" i="1" s="1"/>
  <c r="E21" i="1" s="1"/>
  <c r="G17" i="1"/>
  <c r="F17" i="1"/>
  <c r="E17" i="1"/>
  <c r="A18" i="1"/>
  <c r="A19" i="1" s="1"/>
  <c r="A20" i="1" s="1"/>
  <c r="A21" i="1" s="1"/>
  <c r="A22" i="1" s="1"/>
  <c r="A23" i="1" s="1"/>
  <c r="C18" i="1"/>
  <c r="B18" i="1"/>
  <c r="B17" i="1"/>
  <c r="C17" i="1" s="1"/>
  <c r="A17" i="1"/>
  <c r="I19" i="1"/>
  <c r="I20" i="1" s="1"/>
  <c r="I21" i="1" s="1"/>
  <c r="I22" i="1" s="1"/>
  <c r="J18" i="1"/>
  <c r="I18" i="1"/>
  <c r="J17" i="1"/>
  <c r="K17" i="1" s="1"/>
  <c r="I17" i="1"/>
  <c r="B19" i="1" l="1"/>
  <c r="F19" i="1"/>
  <c r="K18" i="1"/>
  <c r="J19" i="1" s="1"/>
  <c r="G18" i="1"/>
  <c r="A12" i="1"/>
  <c r="K19" i="1" l="1"/>
  <c r="J20" i="1" s="1"/>
  <c r="K20" i="1" s="1"/>
  <c r="J21" i="1" s="1"/>
  <c r="C19" i="1"/>
  <c r="B20" i="1"/>
  <c r="A13" i="1"/>
  <c r="B12" i="1"/>
  <c r="G19" i="1"/>
  <c r="F20" i="1" s="1"/>
  <c r="G20" i="1" s="1"/>
  <c r="F21" i="1" s="1"/>
  <c r="G21" i="1" s="1"/>
  <c r="K21" i="1" l="1"/>
  <c r="J22" i="1"/>
  <c r="K22" i="1" s="1"/>
  <c r="A14" i="1"/>
  <c r="B14" i="1" s="1"/>
  <c r="B13" i="1"/>
  <c r="C20" i="1"/>
  <c r="B21" i="1" s="1"/>
  <c r="C21" i="1" s="1"/>
  <c r="B22" i="1" s="1"/>
  <c r="C22" i="1" l="1"/>
  <c r="B23" i="1"/>
  <c r="C23" i="1" s="1"/>
</calcChain>
</file>

<file path=xl/sharedStrings.xml><?xml version="1.0" encoding="utf-8"?>
<sst xmlns="http://schemas.openxmlformats.org/spreadsheetml/2006/main" count="27" uniqueCount="21">
  <si>
    <t>RAÍCES → MÉTODO DE LA SECANTE</t>
  </si>
  <si>
    <t>Ejercicio 3:</t>
  </si>
  <si>
    <t>Determinar las tres raíces de la ecuación x^3 − x^2·e^{−0,5x} − 3x = −1.</t>
  </si>
  <si>
    <t>Función para el método:</t>
  </si>
  <si>
    <t>f(x) = x^3 − x^2·e^{−0,5x} − 3x + 1</t>
  </si>
  <si>
    <t>Tabla de exploración (para la gráfica)</t>
  </si>
  <si>
    <t>x</t>
  </si>
  <si>
    <t>f(x)</t>
  </si>
  <si>
    <t>Los cambios de signo indican tres raíces aproximadas.</t>
  </si>
  <si>
    <t>Tolerancia (criterio)</t>
  </si>
  <si>
    <t>tol = 0.00005</t>
  </si>
  <si>
    <t>Condición:</t>
  </si>
  <si>
    <t>|f(x_i)| ≤ tol</t>
  </si>
  <si>
    <t>Raíz 1 (intervalo −1,5 a −1)</t>
  </si>
  <si>
    <t>Raíz 2 (intervalo 0 a 0,5)</t>
  </si>
  <si>
    <t>Raíz 3 (intervalo 1,5 a 2)</t>
  </si>
  <si>
    <t>#</t>
  </si>
  <si>
    <t>x_i</t>
  </si>
  <si>
    <t>f(x_i)</t>
  </si>
  <si>
    <t>Fórmula del método de la secante:</t>
  </si>
  <si>
    <t>x_{i+1} = x_i − f(x_i)(x_{i-1} − x_i) / ( f(x_{i-1}) − f(x_i)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</si>
</sst>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3" borderId="1" xfId="0" applyFont="1" applyFill="1" applyBorder="1"/>
    <xf numFmtId="0" fontId="1" fillId="0" borderId="0" xfId="0" applyFont="1"/>
    <xf numFmtId="0" fontId="0" fillId="0" borderId="0" xfId="0"/>
    <xf numFmtId="0" fontId="0" fillId="5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Gráfica de la función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Secante_Ej3!$B$9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Secante_Ej3!$A$10:$A$14</c:f>
              <c:numCache>
                <c:formatCode>General</c:formatCode>
                <c:ptCount val="5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</c:numCache>
            </c:numRef>
          </c:xVal>
          <c:yVal>
            <c:numRef>
              <c:f>Secante_Ej3!$B$10:$B$14</c:f>
              <c:numCache>
                <c:formatCode>General</c:formatCode>
                <c:ptCount val="5"/>
                <c:pt idx="0">
                  <c:v>-11.873127313836179</c:v>
                </c:pt>
                <c:pt idx="1">
                  <c:v>-2.6382500373785192</c:v>
                </c:pt>
                <c:pt idx="2">
                  <c:v>1.3512787292998718</c:v>
                </c:pt>
                <c:pt idx="3">
                  <c:v>2.0539936458280645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7C-4D83-AA61-2E0CBEB90D5A}"/>
            </c:ext>
          </c:extLst>
        </c:ser>
        <c:ser>
          <c:idx val="1"/>
          <c:order val="1"/>
          <c:tx>
            <c:v>raiz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Secante_Ej3!$B$22</c:f>
              <c:numCache>
                <c:formatCode>General</c:formatCode>
                <c:ptCount val="1"/>
                <c:pt idx="0">
                  <c:v>-1.2340578687261863</c:v>
                </c:pt>
              </c:numCache>
            </c:numRef>
          </c:xVal>
          <c:yVal>
            <c:numRef>
              <c:f>Secante_Ej3!$C$22</c:f>
              <c:numCache>
                <c:formatCode>General</c:formatCode>
                <c:ptCount val="1"/>
                <c:pt idx="0">
                  <c:v>2.6748586001179575E-4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7C-4D83-AA61-2E0CBEB90D5A}"/>
            </c:ext>
          </c:extLst>
        </c:ser>
        <c:ser>
          <c:idx val="2"/>
          <c:order val="2"/>
          <c:tx>
            <c:v>raiz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Secante_Ej3!$F$21</c:f>
              <c:numCache>
                <c:formatCode>General</c:formatCode>
                <c:ptCount val="1"/>
                <c:pt idx="0">
                  <c:v>0.31546603846901217</c:v>
                </c:pt>
              </c:numCache>
            </c:numRef>
          </c:xVal>
          <c:yVal>
            <c:numRef>
              <c:f>Secante_Ej3!$G$21</c:f>
              <c:numCache>
                <c:formatCode>General</c:formatCode>
                <c:ptCount val="1"/>
                <c:pt idx="0">
                  <c:v>-1.2052109887861207E-7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7C-4D83-AA61-2E0CBEB90D5A}"/>
            </c:ext>
          </c:extLst>
        </c:ser>
        <c:ser>
          <c:idx val="3"/>
          <c:order val="3"/>
          <c:tx>
            <c:v>raiz 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Secante_Ej3!$J$22</c:f>
              <c:numCache>
                <c:formatCode>General</c:formatCode>
                <c:ptCount val="1"/>
                <c:pt idx="0">
                  <c:v>1.7802322406135895</c:v>
                </c:pt>
              </c:numCache>
            </c:numRef>
          </c:xVal>
          <c:yVal>
            <c:numRef>
              <c:f>Secante_Ej3!$K$22</c:f>
              <c:numCache>
                <c:formatCode>General</c:formatCode>
                <c:ptCount val="1"/>
                <c:pt idx="0">
                  <c:v>-4.7052758239907178E-5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7C-4D83-AA61-2E0CBEB90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280175"/>
        <c:axId val="204582255"/>
      </c:scatterChart>
      <c:valAx>
        <c:axId val="109728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x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04582255"/>
        <c:crosses val="autoZero"/>
        <c:crossBetween val="midCat"/>
      </c:valAx>
      <c:valAx>
        <c:axId val="20458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9728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511507</xdr:colOff>
      <xdr:row>23</xdr:row>
      <xdr:rowOff>154564</xdr:rowOff>
    </xdr:from>
    <xdr:to>
      <xdr:col>8</xdr:col>
      <xdr:colOff>423059</xdr:colOff>
      <xdr:row>38</xdr:row>
      <xdr:rowOff>40264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1D14B6-FE35-40D6-BE47-CFDAFBDECA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110" zoomScaleNormal="110" workbookViewId="0">
      <selection activeCell="B15" sqref="B15"/>
    </sheetView>
  </sheetViews>
  <sheetFormatPr baseColWidth="10" defaultColWidth="9.140625" defaultRowHeight="15" x14ac:dyDescent="0.25"/>
  <cols>
    <col min="1" max="12" width="14" customWidth="1"/>
  </cols>
  <sheetData>
    <row r="1" spans="1:12" ht="18.75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3" spans="1:12" x14ac:dyDescent="0.25">
      <c r="A3" s="1" t="s">
        <v>1</v>
      </c>
      <c r="B3" s="8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</row>
    <row r="5" spans="1:12" x14ac:dyDescent="0.25">
      <c r="A5" s="1" t="s">
        <v>3</v>
      </c>
      <c r="B5" s="8" t="s">
        <v>4</v>
      </c>
      <c r="C5" s="8"/>
      <c r="D5" s="8"/>
      <c r="E5" s="8"/>
    </row>
    <row r="7" spans="1:12" x14ac:dyDescent="0.25">
      <c r="A7" s="1" t="s">
        <v>5</v>
      </c>
    </row>
    <row r="9" spans="1:12" x14ac:dyDescent="0.25">
      <c r="A9" s="2" t="s">
        <v>6</v>
      </c>
      <c r="B9" s="2" t="s">
        <v>7</v>
      </c>
    </row>
    <row r="10" spans="1:12" x14ac:dyDescent="0.25">
      <c r="A10" s="3">
        <f>-2</f>
        <v>-2</v>
      </c>
      <c r="B10" s="3">
        <f>A10^3-A10^2*EXP(-0.5*A10)-3*A10+1</f>
        <v>-11.873127313836179</v>
      </c>
      <c r="D10" s="8" t="s">
        <v>8</v>
      </c>
      <c r="E10" s="8"/>
      <c r="F10" s="8"/>
      <c r="G10" s="8"/>
      <c r="H10" s="8"/>
    </row>
    <row r="11" spans="1:12" x14ac:dyDescent="0.25">
      <c r="A11" s="10">
        <f>A10+0.5</f>
        <v>-1.5</v>
      </c>
      <c r="B11" s="3">
        <f t="shared" ref="B11:B14" si="0">A11^3-A11^2*EXP(-0.5*A11)-3*A11+1</f>
        <v>-2.6382500373785192</v>
      </c>
    </row>
    <row r="12" spans="1:12" x14ac:dyDescent="0.25">
      <c r="A12" s="10">
        <f t="shared" ref="A12:A14" si="1">A11+0.5</f>
        <v>-1</v>
      </c>
      <c r="B12" s="3">
        <f t="shared" si="0"/>
        <v>1.3512787292998718</v>
      </c>
      <c r="D12" s="1" t="s">
        <v>9</v>
      </c>
      <c r="E12" s="5" t="s">
        <v>10</v>
      </c>
    </row>
    <row r="13" spans="1:12" x14ac:dyDescent="0.25">
      <c r="A13" s="10">
        <f t="shared" si="1"/>
        <v>-0.5</v>
      </c>
      <c r="B13" s="3">
        <f t="shared" si="0"/>
        <v>2.0539936458280645</v>
      </c>
      <c r="D13" t="s">
        <v>11</v>
      </c>
      <c r="E13" s="5" t="s">
        <v>12</v>
      </c>
    </row>
    <row r="14" spans="1:12" x14ac:dyDescent="0.25">
      <c r="A14" s="10">
        <f t="shared" si="1"/>
        <v>0</v>
      </c>
      <c r="B14" s="3">
        <f t="shared" si="0"/>
        <v>1</v>
      </c>
    </row>
    <row r="15" spans="1:12" x14ac:dyDescent="0.25">
      <c r="A15" s="6" t="s">
        <v>13</v>
      </c>
      <c r="B15" s="4">
        <v>-0.56970019576785114</v>
      </c>
      <c r="E15" s="1" t="s">
        <v>14</v>
      </c>
      <c r="I15" s="1" t="s">
        <v>15</v>
      </c>
    </row>
    <row r="16" spans="1:12" x14ac:dyDescent="0.25">
      <c r="A16" s="2" t="s">
        <v>16</v>
      </c>
      <c r="B16" s="2" t="s">
        <v>17</v>
      </c>
      <c r="C16" s="2" t="s">
        <v>18</v>
      </c>
      <c r="E16" s="2" t="s">
        <v>16</v>
      </c>
      <c r="F16" s="2" t="s">
        <v>17</v>
      </c>
      <c r="G16" s="2" t="s">
        <v>18</v>
      </c>
      <c r="I16" s="2" t="s">
        <v>16</v>
      </c>
      <c r="J16" s="2" t="s">
        <v>17</v>
      </c>
      <c r="K16" s="2" t="s">
        <v>18</v>
      </c>
    </row>
    <row r="17" spans="1:12" x14ac:dyDescent="0.25">
      <c r="A17" s="4">
        <f>0</f>
        <v>0</v>
      </c>
      <c r="B17" s="4">
        <f>-1.5</f>
        <v>-1.5</v>
      </c>
      <c r="C17" s="3">
        <f>B17^3-B17^2*EXP(-0.5*B17)-3*B17+1</f>
        <v>-2.6382500373785192</v>
      </c>
      <c r="E17" s="3">
        <f>0</f>
        <v>0</v>
      </c>
      <c r="F17" s="3">
        <f>0</f>
        <v>0</v>
      </c>
      <c r="G17" s="3">
        <f>F17^3-F17^2*EXP(-0.5*F17)-3*F17+1</f>
        <v>1</v>
      </c>
      <c r="I17" s="3">
        <f>0</f>
        <v>0</v>
      </c>
      <c r="J17" s="3">
        <f>1.5</f>
        <v>1.5</v>
      </c>
      <c r="K17" s="3">
        <f>J17^3-J17^2*EXP(-0.5*J17)-3*J17+1</f>
        <v>-1.1878247436672833</v>
      </c>
    </row>
    <row r="18" spans="1:12" x14ac:dyDescent="0.25">
      <c r="A18" s="4">
        <f>1</f>
        <v>1</v>
      </c>
      <c r="B18" s="4">
        <f>-1</f>
        <v>-1</v>
      </c>
      <c r="C18" s="3">
        <f>B18^3-B18^2*EXP(-0.5*B18)-3*B18+1</f>
        <v>1.3512787292998718</v>
      </c>
      <c r="E18" s="3">
        <f>1</f>
        <v>1</v>
      </c>
      <c r="F18" s="3">
        <f>0.5</f>
        <v>0.5</v>
      </c>
      <c r="G18" s="3">
        <f>F18^3-F18^2*EXP(-0.5*F18)-3*F18+1</f>
        <v>-0.56970019576785114</v>
      </c>
      <c r="I18" s="3">
        <f>1</f>
        <v>1</v>
      </c>
      <c r="J18" s="3">
        <f>2</f>
        <v>2</v>
      </c>
      <c r="K18" s="3">
        <f>J18^3-J18^2*EXP(-0.5*J18)-3*J18+1</f>
        <v>1.5284822353142307</v>
      </c>
    </row>
    <row r="19" spans="1:12" x14ac:dyDescent="0.25">
      <c r="A19" s="3">
        <f>A18+1</f>
        <v>2</v>
      </c>
      <c r="B19" s="3">
        <f>B18-C18*(B17-B18)/(C17-C18)</f>
        <v>-1.1693531753156052</v>
      </c>
      <c r="C19" s="3">
        <f>B19^3-B19^2*EXP(-0.5*B19)-3*B19+1</f>
        <v>0.45544797559724204</v>
      </c>
      <c r="E19" s="3">
        <f>E18+1</f>
        <v>2</v>
      </c>
      <c r="F19" s="3">
        <f>F18-G18*(F17-F18)/(G17-G18)</f>
        <v>0.31853216387949468</v>
      </c>
      <c r="G19" s="3">
        <f>F19^3-F19^2*EXP(-0.5*F19)-3*F19+1</f>
        <v>-9.8016673746958993E-3</v>
      </c>
      <c r="I19" s="3">
        <f>I18+1</f>
        <v>2</v>
      </c>
      <c r="J19" s="3">
        <f>J18-K18*(J17-J18)/(K17-K18)</f>
        <v>1.7186469999264702</v>
      </c>
      <c r="K19" s="3">
        <f>J19^3-J19^2*EXP(-0.5*J19)-3*J19+1</f>
        <v>-0.33025150259725455</v>
      </c>
    </row>
    <row r="20" spans="1:12" x14ac:dyDescent="0.25">
      <c r="A20" s="3">
        <f t="shared" ref="A20:A23" si="2">A19+1</f>
        <v>3</v>
      </c>
      <c r="B20" s="3">
        <f t="shared" ref="B20:B23" si="3">B19-C19*(B18-B19)/(C18-C19)</f>
        <v>-1.2554537702546142</v>
      </c>
      <c r="C20" s="3">
        <f t="shared" ref="C20:C23" si="4">B20^3-B20^2*EXP(-0.5*B20)-3*B20+1</f>
        <v>-0.16514298950341288</v>
      </c>
      <c r="E20" s="3">
        <f t="shared" ref="E20:E21" si="5">E19+1</f>
        <v>3</v>
      </c>
      <c r="F20" s="3">
        <f t="shared" ref="F20:F21" si="6">F19-G19*(F18-F19)/(G18-G19)</f>
        <v>0.31535536080061599</v>
      </c>
      <c r="G20" s="3">
        <f t="shared" ref="G20:G21" si="7">F20^3-F20^2*EXP(-0.5*F20)-3*F20+1</f>
        <v>3.5380995432121587E-4</v>
      </c>
      <c r="I20" s="3">
        <f t="shared" ref="I20:I21" si="8">I19+1</f>
        <v>3</v>
      </c>
      <c r="J20" s="3">
        <f t="shared" ref="J20:J21" si="9">J19-K19*(J18-J19)/(K18-K19)</f>
        <v>1.7686365434201674</v>
      </c>
      <c r="K20" s="3">
        <f t="shared" ref="K20:K22" si="10">J20^3-J20^2*EXP(-0.5*J20)-3*J20+1</f>
        <v>-6.5362872245422032E-2</v>
      </c>
    </row>
    <row r="21" spans="1:12" x14ac:dyDescent="0.25">
      <c r="A21" s="3">
        <f t="shared" si="2"/>
        <v>4</v>
      </c>
      <c r="B21" s="3">
        <f t="shared" si="3"/>
        <v>-1.2325418839303521</v>
      </c>
      <c r="C21" s="3">
        <f t="shared" si="4"/>
        <v>1.1701038205524483E-2</v>
      </c>
      <c r="E21" s="9">
        <f t="shared" si="5"/>
        <v>4</v>
      </c>
      <c r="F21" s="9">
        <f t="shared" si="6"/>
        <v>0.31546603846901217</v>
      </c>
      <c r="G21" s="9">
        <f t="shared" si="7"/>
        <v>-1.2052109887861207E-7</v>
      </c>
      <c r="I21" s="3">
        <f t="shared" si="8"/>
        <v>4</v>
      </c>
      <c r="J21" s="3">
        <f t="shared" si="9"/>
        <v>1.7809717657384887</v>
      </c>
      <c r="K21" s="3">
        <f t="shared" si="10"/>
        <v>4.1685709323697751E-3</v>
      </c>
    </row>
    <row r="22" spans="1:12" x14ac:dyDescent="0.25">
      <c r="A22" s="3">
        <f t="shared" si="2"/>
        <v>5</v>
      </c>
      <c r="B22" s="3">
        <f t="shared" si="3"/>
        <v>-1.2340578687261863</v>
      </c>
      <c r="C22" s="3">
        <f t="shared" si="4"/>
        <v>2.6748586001179575E-4</v>
      </c>
      <c r="I22" s="9">
        <f t="shared" ref="I22" si="11">I21+1</f>
        <v>5</v>
      </c>
      <c r="J22" s="9">
        <f t="shared" ref="J22" si="12">J21-K21*(J20-J21)/(K20-K21)</f>
        <v>1.7802322406135895</v>
      </c>
      <c r="K22" s="9">
        <f t="shared" si="10"/>
        <v>-4.7052758239907178E-5</v>
      </c>
    </row>
    <row r="23" spans="1:12" x14ac:dyDescent="0.25">
      <c r="A23" s="9">
        <f t="shared" si="2"/>
        <v>6</v>
      </c>
      <c r="B23" s="9">
        <f t="shared" si="3"/>
        <v>-1.234093334912427</v>
      </c>
      <c r="C23" s="9">
        <f t="shared" si="4"/>
        <v>-4.5074825116842021E-7</v>
      </c>
    </row>
    <row r="28" spans="1:12" x14ac:dyDescent="0.25">
      <c r="A28" s="1" t="s">
        <v>19</v>
      </c>
    </row>
    <row r="29" spans="1:12" x14ac:dyDescent="0.25">
      <c r="A29" s="8" t="s">
        <v>20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</sheetData>
  <mergeCells count="5">
    <mergeCell ref="A1:L1"/>
    <mergeCell ref="B3:L3"/>
    <mergeCell ref="B5:E5"/>
    <mergeCell ref="D10:H10"/>
    <mergeCell ref="A29:L2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Secante_Ej3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Genesis Jalid Tapia Cortez</cp:lastModifiedBy>
  <dcterms:created xsi:type="dcterms:W3CDTF">2025-11-30T19:10:13Z</dcterms:created>
  <dcterms:modified xsi:type="dcterms:W3CDTF">2025-11-30T20:09:30Z</dcterms:modified>
</cp:coreProperties>
</file>